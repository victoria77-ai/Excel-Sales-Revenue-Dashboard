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3633B5BF-B248-49E9-99E8-CB76943E0D5C}" xr6:coauthVersionLast="47" xr6:coauthVersionMax="47" xr10:uidLastSave="{00000000-0000-0000-0000-000000000000}"/>
  <bookViews>
    <workbookView xWindow="-110" yWindow="-110" windowWidth="19420" windowHeight="10420" activeTab="3" xr2:uid="{00000000-000D-0000-FFFF-FFFF00000000}"/>
  </bookViews>
  <sheets>
    <sheet name="Sales_tbl" sheetId="1" r:id="rId1"/>
    <sheet name="KPIs" sheetId="3" r:id="rId2"/>
    <sheet name="Pivot_tbl" sheetId="4" r:id="rId3"/>
    <sheet name="Dashboard" sheetId="6" r:id="rId4"/>
    <sheet name="Insights" sheetId="7" r:id="rId5"/>
    <sheet name="Project_Tasks" sheetId="2" r:id="rId6"/>
  </sheets>
  <definedNames>
    <definedName name="Slicer_Category">#N/A</definedName>
    <definedName name="Slicer_Product">#N/A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6" l="1"/>
  <c r="G5" i="6"/>
  <c r="E5" i="6"/>
  <c r="C5" i="6"/>
  <c r="A5" i="6"/>
  <c r="H6" i="3"/>
  <c r="H5" i="3"/>
  <c r="H4" i="3"/>
  <c r="C2" i="3"/>
  <c r="C5" i="3"/>
  <c r="C4" i="3"/>
  <c r="C3" i="3"/>
  <c r="B5" i="3"/>
  <c r="B4" i="3"/>
  <c r="B3" i="3"/>
  <c r="B2" i="3"/>
  <c r="S7" i="1"/>
  <c r="S6" i="1"/>
  <c r="S5" i="1"/>
  <c r="S4" i="1"/>
  <c r="S3"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alcChain>
</file>

<file path=xl/sharedStrings.xml><?xml version="1.0" encoding="utf-8"?>
<sst xmlns="http://schemas.openxmlformats.org/spreadsheetml/2006/main" count="1322" uniqueCount="435">
  <si>
    <t>Order_Date</t>
  </si>
  <si>
    <t>Region</t>
  </si>
  <si>
    <t>Salesperson</t>
  </si>
  <si>
    <t>Product</t>
  </si>
  <si>
    <t>Category</t>
  </si>
  <si>
    <t>Units_Sold</t>
  </si>
  <si>
    <t>Unit_Price</t>
  </si>
  <si>
    <t>Revenue</t>
  </si>
  <si>
    <t>Cost</t>
  </si>
  <si>
    <t>Profit</t>
  </si>
  <si>
    <t>ORD0001</t>
  </si>
  <si>
    <t>2025-12-05</t>
  </si>
  <si>
    <t>South</t>
  </si>
  <si>
    <t>Frank</t>
  </si>
  <si>
    <t>Phone</t>
  </si>
  <si>
    <t>Electronics</t>
  </si>
  <si>
    <t>ORD0002</t>
  </si>
  <si>
    <t>2025-01-06</t>
  </si>
  <si>
    <t>North</t>
  </si>
  <si>
    <t>Chair</t>
  </si>
  <si>
    <t>Furniture</t>
  </si>
  <si>
    <t>ORD0003</t>
  </si>
  <si>
    <t>2025-05-21</t>
  </si>
  <si>
    <t>East</t>
  </si>
  <si>
    <t>ORD0004</t>
  </si>
  <si>
    <t>2025-01-02</t>
  </si>
  <si>
    <t>Ben</t>
  </si>
  <si>
    <t>ORD0005</t>
  </si>
  <si>
    <t>Desk</t>
  </si>
  <si>
    <t>ORD0006</t>
  </si>
  <si>
    <t>2025-01-04</t>
  </si>
  <si>
    <t>West</t>
  </si>
  <si>
    <t>Alice</t>
  </si>
  <si>
    <t>ORD0007</t>
  </si>
  <si>
    <t>2025-05-20</t>
  </si>
  <si>
    <t>Headphones</t>
  </si>
  <si>
    <t>Accessories</t>
  </si>
  <si>
    <t>ORD0008</t>
  </si>
  <si>
    <t>2025-01-09</t>
  </si>
  <si>
    <t>Clara</t>
  </si>
  <si>
    <t>ORD0009</t>
  </si>
  <si>
    <t>2025-09-06</t>
  </si>
  <si>
    <t>ORD0010</t>
  </si>
  <si>
    <t>2025-10-25</t>
  </si>
  <si>
    <t>ORD0011</t>
  </si>
  <si>
    <t>2025-04-14</t>
  </si>
  <si>
    <t>ORD0012</t>
  </si>
  <si>
    <t>2025-12-13</t>
  </si>
  <si>
    <t>ORD0013</t>
  </si>
  <si>
    <t>2025-12-10</t>
  </si>
  <si>
    <t>ORD0014</t>
  </si>
  <si>
    <t>2025-12-08</t>
  </si>
  <si>
    <t>ORD0015</t>
  </si>
  <si>
    <t>2025-12-14</t>
  </si>
  <si>
    <t>Emma</t>
  </si>
  <si>
    <t>ORD0016</t>
  </si>
  <si>
    <t>2025-05-11</t>
  </si>
  <si>
    <t>Monitor</t>
  </si>
  <si>
    <t>ORD0017</t>
  </si>
  <si>
    <t>2025-02-08</t>
  </si>
  <si>
    <t>David</t>
  </si>
  <si>
    <t>ORD0018</t>
  </si>
  <si>
    <t>2025-11-19</t>
  </si>
  <si>
    <t>Laptop</t>
  </si>
  <si>
    <t>ORD0019</t>
  </si>
  <si>
    <t>2025-01-15</t>
  </si>
  <si>
    <t>ORD0020</t>
  </si>
  <si>
    <t>2025-06-10</t>
  </si>
  <si>
    <t>ORD0021</t>
  </si>
  <si>
    <t>2025-10-27</t>
  </si>
  <si>
    <t>ORD0022</t>
  </si>
  <si>
    <t>2025-04-10</t>
  </si>
  <si>
    <t>ORD0023</t>
  </si>
  <si>
    <t>2025-10-08</t>
  </si>
  <si>
    <t>ORD0024</t>
  </si>
  <si>
    <t>2025-02-05</t>
  </si>
  <si>
    <t>ORD0025</t>
  </si>
  <si>
    <t>2025-01-22</t>
  </si>
  <si>
    <t>ORD0026</t>
  </si>
  <si>
    <t>2025-02-21</t>
  </si>
  <si>
    <t>ORD0027</t>
  </si>
  <si>
    <t>2025-09-10</t>
  </si>
  <si>
    <t>ORD0028</t>
  </si>
  <si>
    <t>ORD0029</t>
  </si>
  <si>
    <t>2025-05-24</t>
  </si>
  <si>
    <t>ORD0030</t>
  </si>
  <si>
    <t>ORD0031</t>
  </si>
  <si>
    <t>2025-12-26</t>
  </si>
  <si>
    <t>ORD0032</t>
  </si>
  <si>
    <t>2025-06-29</t>
  </si>
  <si>
    <t>ORD0033</t>
  </si>
  <si>
    <t>2025-09-29</t>
  </si>
  <si>
    <t>ORD0034</t>
  </si>
  <si>
    <t>2025-10-11</t>
  </si>
  <si>
    <t>ORD0035</t>
  </si>
  <si>
    <t>ORD0036</t>
  </si>
  <si>
    <t>2025-05-03</t>
  </si>
  <si>
    <t>ORD0037</t>
  </si>
  <si>
    <t>2025-08-17</t>
  </si>
  <si>
    <t>ORD0038</t>
  </si>
  <si>
    <t>2025-11-02</t>
  </si>
  <si>
    <t>ORD0039</t>
  </si>
  <si>
    <t>2025-06-28</t>
  </si>
  <si>
    <t>ORD0040</t>
  </si>
  <si>
    <t>2025-12-28</t>
  </si>
  <si>
    <t>ORD0041</t>
  </si>
  <si>
    <t>2025-04-13</t>
  </si>
  <si>
    <t>ORD0042</t>
  </si>
  <si>
    <t>2025-07-18</t>
  </si>
  <si>
    <t>ORD0043</t>
  </si>
  <si>
    <t>2025-11-03</t>
  </si>
  <si>
    <t>ORD0044</t>
  </si>
  <si>
    <t>2025-04-06</t>
  </si>
  <si>
    <t>ORD0045</t>
  </si>
  <si>
    <t>2025-10-15</t>
  </si>
  <si>
    <t>ORD0046</t>
  </si>
  <si>
    <t>2025-07-15</t>
  </si>
  <si>
    <t>ORD0047</t>
  </si>
  <si>
    <t>2025-07-02</t>
  </si>
  <si>
    <t>ORD0048</t>
  </si>
  <si>
    <t>2025-01-28</t>
  </si>
  <si>
    <t>ORD0049</t>
  </si>
  <si>
    <t>ORD0050</t>
  </si>
  <si>
    <t>2025-04-24</t>
  </si>
  <si>
    <t>ORD0051</t>
  </si>
  <si>
    <t>2025-07-03</t>
  </si>
  <si>
    <t>ORD0052</t>
  </si>
  <si>
    <t>2025-03-24</t>
  </si>
  <si>
    <t>ORD0053</t>
  </si>
  <si>
    <t>2025-08-20</t>
  </si>
  <si>
    <t>ORD0054</t>
  </si>
  <si>
    <t>2025-03-28</t>
  </si>
  <si>
    <t>ORD0055</t>
  </si>
  <si>
    <t>2025-12-03</t>
  </si>
  <si>
    <t>ORD0056</t>
  </si>
  <si>
    <t>2025-11-08</t>
  </si>
  <si>
    <t>ORD0057</t>
  </si>
  <si>
    <t>2025-03-13</t>
  </si>
  <si>
    <t>ORD0058</t>
  </si>
  <si>
    <t>2025-04-04</t>
  </si>
  <si>
    <t>ORD0059</t>
  </si>
  <si>
    <t>2025-10-31</t>
  </si>
  <si>
    <t>ORD0060</t>
  </si>
  <si>
    <t>ORD0061</t>
  </si>
  <si>
    <t>2025-01-24</t>
  </si>
  <si>
    <t>ORD0062</t>
  </si>
  <si>
    <t>2025-11-15</t>
  </si>
  <si>
    <t>ORD0063</t>
  </si>
  <si>
    <t>2025-10-20</t>
  </si>
  <si>
    <t>ORD0064</t>
  </si>
  <si>
    <t>2025-05-19</t>
  </si>
  <si>
    <t>ORD0065</t>
  </si>
  <si>
    <t>ORD0066</t>
  </si>
  <si>
    <t>ORD0067</t>
  </si>
  <si>
    <t>2025-10-10</t>
  </si>
  <si>
    <t>ORD0068</t>
  </si>
  <si>
    <t>2025-04-02</t>
  </si>
  <si>
    <t>ORD0069</t>
  </si>
  <si>
    <t>2025-06-09</t>
  </si>
  <si>
    <t>ORD0070</t>
  </si>
  <si>
    <t>ORD0071</t>
  </si>
  <si>
    <t>2025-08-26</t>
  </si>
  <si>
    <t>ORD0072</t>
  </si>
  <si>
    <t>ORD0073</t>
  </si>
  <si>
    <t>2025-01-31</t>
  </si>
  <si>
    <t>ORD0074</t>
  </si>
  <si>
    <t>ORD0075</t>
  </si>
  <si>
    <t>2025-06-23</t>
  </si>
  <si>
    <t>ORD0076</t>
  </si>
  <si>
    <t>ORD0077</t>
  </si>
  <si>
    <t>2025-02-23</t>
  </si>
  <si>
    <t>ORD0078</t>
  </si>
  <si>
    <t>2025-04-25</t>
  </si>
  <si>
    <t>ORD0079</t>
  </si>
  <si>
    <t>2025-07-04</t>
  </si>
  <si>
    <t>ORD0080</t>
  </si>
  <si>
    <t>2025-02-22</t>
  </si>
  <si>
    <t>ORD0081</t>
  </si>
  <si>
    <t>2025-09-09</t>
  </si>
  <si>
    <t>ORD0082</t>
  </si>
  <si>
    <t>ORD0083</t>
  </si>
  <si>
    <t>ORD0084</t>
  </si>
  <si>
    <t>2025-09-01</t>
  </si>
  <si>
    <t>ORD0085</t>
  </si>
  <si>
    <t>2025-07-12</t>
  </si>
  <si>
    <t>ORD0086</t>
  </si>
  <si>
    <t>2025-04-30</t>
  </si>
  <si>
    <t>ORD0087</t>
  </si>
  <si>
    <t>2025-07-07</t>
  </si>
  <si>
    <t>ORD0088</t>
  </si>
  <si>
    <t>ORD0089</t>
  </si>
  <si>
    <t>2025-12-15</t>
  </si>
  <si>
    <t>ORD0090</t>
  </si>
  <si>
    <t>2025-07-10</t>
  </si>
  <si>
    <t>ORD0091</t>
  </si>
  <si>
    <t>2025-04-20</t>
  </si>
  <si>
    <t>ORD0092</t>
  </si>
  <si>
    <t>2025-04-21</t>
  </si>
  <si>
    <t>ORD0093</t>
  </si>
  <si>
    <t>2025-06-14</t>
  </si>
  <si>
    <t>ORD0094</t>
  </si>
  <si>
    <t>ORD0095</t>
  </si>
  <si>
    <t>2025-08-02</t>
  </si>
  <si>
    <t>ORD0096</t>
  </si>
  <si>
    <t>2025-02-24</t>
  </si>
  <si>
    <t>ORD0097</t>
  </si>
  <si>
    <t>2025-02-06</t>
  </si>
  <si>
    <t>ORD0098</t>
  </si>
  <si>
    <t>2025-05-06</t>
  </si>
  <si>
    <t>ORD0099</t>
  </si>
  <si>
    <t>2025-06-12</t>
  </si>
  <si>
    <t>ORD0100</t>
  </si>
  <si>
    <t>2025-11-22</t>
  </si>
  <si>
    <t>ORD0101</t>
  </si>
  <si>
    <t>2025-12-09</t>
  </si>
  <si>
    <t>ORD0102</t>
  </si>
  <si>
    <t>ORD0103</t>
  </si>
  <si>
    <t>2025-12-22</t>
  </si>
  <si>
    <t>ORD0104</t>
  </si>
  <si>
    <t>ORD0105</t>
  </si>
  <si>
    <t>2025-11-09</t>
  </si>
  <si>
    <t>ORD0106</t>
  </si>
  <si>
    <t>2025-11-07</t>
  </si>
  <si>
    <t>ORD0107</t>
  </si>
  <si>
    <t>2025-09-08</t>
  </si>
  <si>
    <t>ORD0108</t>
  </si>
  <si>
    <t>2025-08-14</t>
  </si>
  <si>
    <t>ORD0109</t>
  </si>
  <si>
    <t>2025-10-12</t>
  </si>
  <si>
    <t>ORD0110</t>
  </si>
  <si>
    <t>2025-04-15</t>
  </si>
  <si>
    <t>ORD0111</t>
  </si>
  <si>
    <t>2025-04-19</t>
  </si>
  <si>
    <t>ORD0112</t>
  </si>
  <si>
    <t>2025-08-30</t>
  </si>
  <si>
    <t>ORD0113</t>
  </si>
  <si>
    <t>ORD0114</t>
  </si>
  <si>
    <t>2025-03-21</t>
  </si>
  <si>
    <t>ORD0115</t>
  </si>
  <si>
    <t>2025-08-10</t>
  </si>
  <si>
    <t>ORD0116</t>
  </si>
  <si>
    <t>2025-12-30</t>
  </si>
  <si>
    <t>ORD0117</t>
  </si>
  <si>
    <t>ORD0118</t>
  </si>
  <si>
    <t>2025-02-27</t>
  </si>
  <si>
    <t>ORD0119</t>
  </si>
  <si>
    <t>ORD0120</t>
  </si>
  <si>
    <t>2025-04-26</t>
  </si>
  <si>
    <t>ORD0121</t>
  </si>
  <si>
    <t>2025-07-27</t>
  </si>
  <si>
    <t>ORD0122</t>
  </si>
  <si>
    <t>ORD0123</t>
  </si>
  <si>
    <t>2025-07-25</t>
  </si>
  <si>
    <t>ORD0124</t>
  </si>
  <si>
    <t>2025-12-29</t>
  </si>
  <si>
    <t>ORD0125</t>
  </si>
  <si>
    <t>2025-10-30</t>
  </si>
  <si>
    <t>ORD0126</t>
  </si>
  <si>
    <t>ORD0127</t>
  </si>
  <si>
    <t>2025-01-08</t>
  </si>
  <si>
    <t>ORD0128</t>
  </si>
  <si>
    <t>ORD0129</t>
  </si>
  <si>
    <t>ORD0130</t>
  </si>
  <si>
    <t>2025-11-27</t>
  </si>
  <si>
    <t>ORD0131</t>
  </si>
  <si>
    <t>ORD0132</t>
  </si>
  <si>
    <t>ORD0133</t>
  </si>
  <si>
    <t>ORD0134</t>
  </si>
  <si>
    <t>2025-05-09</t>
  </si>
  <si>
    <t>ORD0135</t>
  </si>
  <si>
    <t>ORD0136</t>
  </si>
  <si>
    <t>2025-07-30</t>
  </si>
  <si>
    <t>ORD0137</t>
  </si>
  <si>
    <t>2025-08-21</t>
  </si>
  <si>
    <t>ORD0138</t>
  </si>
  <si>
    <t>2025-12-31</t>
  </si>
  <si>
    <t>ORD0139</t>
  </si>
  <si>
    <t>ORD0140</t>
  </si>
  <si>
    <t>ORD0141</t>
  </si>
  <si>
    <t>2025-05-12</t>
  </si>
  <si>
    <t>ORD0142</t>
  </si>
  <si>
    <t>2025-11-23</t>
  </si>
  <si>
    <t>ORD0143</t>
  </si>
  <si>
    <t>2025-01-25</t>
  </si>
  <si>
    <t>ORD0144</t>
  </si>
  <si>
    <t>2025-04-09</t>
  </si>
  <si>
    <t>ORD0145</t>
  </si>
  <si>
    <t>2025-07-08</t>
  </si>
  <si>
    <t>ORD0146</t>
  </si>
  <si>
    <t>2025-05-13</t>
  </si>
  <si>
    <t>ORD0147</t>
  </si>
  <si>
    <t>2025-06-17</t>
  </si>
  <si>
    <t>ORD0148</t>
  </si>
  <si>
    <t>2025-11-13</t>
  </si>
  <si>
    <t>ORD0149</t>
  </si>
  <si>
    <t>2025-06-24</t>
  </si>
  <si>
    <t>ORD0150</t>
  </si>
  <si>
    <t>ORD0151</t>
  </si>
  <si>
    <t>ORD0152</t>
  </si>
  <si>
    <t>2025-01-27</t>
  </si>
  <si>
    <t>ORD0153</t>
  </si>
  <si>
    <t>2025-04-01</t>
  </si>
  <si>
    <t>ORD0154</t>
  </si>
  <si>
    <t>ORD0155</t>
  </si>
  <si>
    <t>ORD0156</t>
  </si>
  <si>
    <t>2025-07-29</t>
  </si>
  <si>
    <t>ORD0157</t>
  </si>
  <si>
    <t>2025-03-19</t>
  </si>
  <si>
    <t>ORD0158</t>
  </si>
  <si>
    <t>2025-03-06</t>
  </si>
  <si>
    <t>ORD0159</t>
  </si>
  <si>
    <t>ORD0160</t>
  </si>
  <si>
    <t>2025-02-20</t>
  </si>
  <si>
    <t>ORD0161</t>
  </si>
  <si>
    <t>2025-08-31</t>
  </si>
  <si>
    <t>ORD0162</t>
  </si>
  <si>
    <t>2025-10-09</t>
  </si>
  <si>
    <t>ORD0163</t>
  </si>
  <si>
    <t>2025-05-15</t>
  </si>
  <si>
    <t>ORD0164</t>
  </si>
  <si>
    <t>2025-02-26</t>
  </si>
  <si>
    <t>ORD0165</t>
  </si>
  <si>
    <t>ORD0166</t>
  </si>
  <si>
    <t>ORD0167</t>
  </si>
  <si>
    <t>ORD0168</t>
  </si>
  <si>
    <t>ORD0169</t>
  </si>
  <si>
    <t>2025-07-23</t>
  </si>
  <si>
    <t>ORD0170</t>
  </si>
  <si>
    <t>2025-04-23</t>
  </si>
  <si>
    <t>ORD0171</t>
  </si>
  <si>
    <t>2025-06-08</t>
  </si>
  <si>
    <t>ORD0172</t>
  </si>
  <si>
    <t>2025-02-10</t>
  </si>
  <si>
    <t>ORD0173</t>
  </si>
  <si>
    <t>2025-08-25</t>
  </si>
  <si>
    <t>ORD0174</t>
  </si>
  <si>
    <t>ORD0175</t>
  </si>
  <si>
    <t>2025-11-05</t>
  </si>
  <si>
    <t>ORD0176</t>
  </si>
  <si>
    <t>2025-06-18</t>
  </si>
  <si>
    <t>ORD0177</t>
  </si>
  <si>
    <t>2025-08-01</t>
  </si>
  <si>
    <t>ORD0178</t>
  </si>
  <si>
    <t>2025-08-28</t>
  </si>
  <si>
    <t>ORD0179</t>
  </si>
  <si>
    <t>ORD0180</t>
  </si>
  <si>
    <t>ORD0181</t>
  </si>
  <si>
    <t>ORD0182</t>
  </si>
  <si>
    <t>ORD0183</t>
  </si>
  <si>
    <t>ORD0184</t>
  </si>
  <si>
    <t>ORD0185</t>
  </si>
  <si>
    <t>ORD0186</t>
  </si>
  <si>
    <t>ORD0187</t>
  </si>
  <si>
    <t>2025-06-19</t>
  </si>
  <si>
    <t>ORD0188</t>
  </si>
  <si>
    <t>ORD0189</t>
  </si>
  <si>
    <t>ORD0190</t>
  </si>
  <si>
    <t>2025-01-03</t>
  </si>
  <si>
    <t>ORD0191</t>
  </si>
  <si>
    <t>ORD0192</t>
  </si>
  <si>
    <t>ORD0193</t>
  </si>
  <si>
    <t>2025-07-09</t>
  </si>
  <si>
    <t>ORD0194</t>
  </si>
  <si>
    <t>2025-07-22</t>
  </si>
  <si>
    <t>ORD0195</t>
  </si>
  <si>
    <t>2025-05-18</t>
  </si>
  <si>
    <t>ORD0196</t>
  </si>
  <si>
    <t>ORD0197</t>
  </si>
  <si>
    <t>ORD0198</t>
  </si>
  <si>
    <t>2025-03-12</t>
  </si>
  <si>
    <t>ORD0199</t>
  </si>
  <si>
    <t>2025-11-29</t>
  </si>
  <si>
    <t>ORD0200</t>
  </si>
  <si>
    <t>2025-02-28</t>
  </si>
  <si>
    <t>Task_No</t>
  </si>
  <si>
    <t>Task</t>
  </si>
  <si>
    <t>Convert the data into an Excel Table.</t>
  </si>
  <si>
    <t>Apply formatting and conditional formatting.</t>
  </si>
  <si>
    <t>Calculate Total Revenue, Cost, and Profit.</t>
  </si>
  <si>
    <t>Find Average Revenue and Average Profit.</t>
  </si>
  <si>
    <t>Count the number of orders.</t>
  </si>
  <si>
    <t>Use SUMIF and COUNTIF by Region.</t>
  </si>
  <si>
    <t>Use XLOOKUP or VLOOKUP to retrieve product details.</t>
  </si>
  <si>
    <t>Create a Pivot Table for Revenue by Region.</t>
  </si>
  <si>
    <t>Create a Pivot Table for Profit by Product.</t>
  </si>
  <si>
    <t>Create monthly sales analysis.</t>
  </si>
  <si>
    <t>Create charts (Column, Line, Pie).</t>
  </si>
  <si>
    <t>Identify the best-selling product.</t>
  </si>
  <si>
    <t>Find the salesperson with the highest profit.</t>
  </si>
  <si>
    <t>Build an interactive dashboard with slicers.</t>
  </si>
  <si>
    <t>Highlight orders with Profit above 2000.</t>
  </si>
  <si>
    <t>Order_id</t>
  </si>
  <si>
    <t>Month</t>
  </si>
  <si>
    <t>Month_num</t>
  </si>
  <si>
    <t>Year</t>
  </si>
  <si>
    <t>High_Profit</t>
  </si>
  <si>
    <t>Profit_Margin</t>
  </si>
  <si>
    <t>Total Revenue</t>
  </si>
  <si>
    <t>Total Profit</t>
  </si>
  <si>
    <t>Total Cost</t>
  </si>
  <si>
    <t>Average Revenue</t>
  </si>
  <si>
    <t>Total Orders</t>
  </si>
  <si>
    <t>Order_Count</t>
  </si>
  <si>
    <t>Row Labels</t>
  </si>
  <si>
    <t>Grand Total</t>
  </si>
  <si>
    <t>Sum of Revenue</t>
  </si>
  <si>
    <t>Sum of Profit</t>
  </si>
  <si>
    <t>Jan</t>
  </si>
  <si>
    <t>Feb</t>
  </si>
  <si>
    <t>Mar</t>
  </si>
  <si>
    <t>Apr</t>
  </si>
  <si>
    <t>May</t>
  </si>
  <si>
    <t>Jun</t>
  </si>
  <si>
    <t>Jul</t>
  </si>
  <si>
    <t>Aug</t>
  </si>
  <si>
    <t>Sep</t>
  </si>
  <si>
    <t>Oct</t>
  </si>
  <si>
    <t>Nov</t>
  </si>
  <si>
    <t>Dec</t>
  </si>
  <si>
    <t>Sum of Units_Sold</t>
  </si>
  <si>
    <t>Sales &amp; Revenue Performance Dashboard</t>
  </si>
  <si>
    <t>Total Units Sold</t>
  </si>
  <si>
    <r>
      <t>Total revenue reached</t>
    </r>
    <r>
      <rPr>
        <sz val="11"/>
        <color theme="3"/>
        <rFont val="Calibri"/>
        <family val="2"/>
        <scheme val="minor"/>
      </rPr>
      <t xml:space="preserve"> </t>
    </r>
    <r>
      <rPr>
        <b/>
        <sz val="11"/>
        <color theme="3"/>
        <rFont val="Calibri"/>
        <family val="2"/>
        <scheme val="minor"/>
      </rPr>
      <t>£750,830</t>
    </r>
    <r>
      <rPr>
        <sz val="11"/>
        <color theme="1"/>
        <rFont val="Calibri"/>
        <family val="2"/>
        <scheme val="minor"/>
      </rPr>
      <t>, generating</t>
    </r>
    <r>
      <rPr>
        <sz val="11"/>
        <color theme="3"/>
        <rFont val="Calibri"/>
        <family val="2"/>
        <scheme val="minor"/>
      </rPr>
      <t xml:space="preserve"> </t>
    </r>
    <r>
      <rPr>
        <b/>
        <sz val="11"/>
        <color theme="3"/>
        <rFont val="Calibri"/>
        <family val="2"/>
        <scheme val="minor"/>
      </rPr>
      <t>£210,700</t>
    </r>
    <r>
      <rPr>
        <sz val="11"/>
        <color theme="1"/>
        <rFont val="Calibri"/>
        <family val="2"/>
        <scheme val="minor"/>
      </rPr>
      <t xml:space="preserve"> in total profit.</t>
    </r>
  </si>
  <si>
    <r>
      <t xml:space="preserve">The </t>
    </r>
    <r>
      <rPr>
        <b/>
        <sz val="11"/>
        <color theme="3"/>
        <rFont val="Calibri"/>
        <family val="2"/>
        <scheme val="minor"/>
      </rPr>
      <t>West</t>
    </r>
    <r>
      <rPr>
        <sz val="11"/>
        <color theme="1"/>
        <rFont val="Calibri"/>
        <family val="2"/>
        <scheme val="minor"/>
      </rPr>
      <t xml:space="preserve"> region contributed the highest revenue.</t>
    </r>
  </si>
  <si>
    <r>
      <rPr>
        <b/>
        <sz val="11"/>
        <color theme="3"/>
        <rFont val="Calibri"/>
        <family val="2"/>
        <scheme val="minor"/>
      </rPr>
      <t>Laptop</t>
    </r>
    <r>
      <rPr>
        <sz val="11"/>
        <color theme="1"/>
        <rFont val="Calibri"/>
        <family val="2"/>
        <scheme val="minor"/>
      </rPr>
      <t xml:space="preserve"> was the most profitable product.</t>
    </r>
  </si>
  <si>
    <r>
      <rPr>
        <b/>
        <sz val="11"/>
        <color theme="3"/>
        <rFont val="Calibri"/>
        <family val="2"/>
        <scheme val="minor"/>
      </rPr>
      <t>Headphones</t>
    </r>
    <r>
      <rPr>
        <sz val="11"/>
        <color theme="1"/>
        <rFont val="Calibri"/>
        <family val="2"/>
        <scheme val="minor"/>
      </rPr>
      <t xml:space="preserve"> were the best-selling product by units sold.</t>
    </r>
  </si>
  <si>
    <r>
      <rPr>
        <b/>
        <sz val="11"/>
        <color theme="3"/>
        <rFont val="Calibri"/>
        <family val="2"/>
        <scheme val="minor"/>
      </rPr>
      <t>July</t>
    </r>
    <r>
      <rPr>
        <sz val="11"/>
        <color theme="3"/>
        <rFont val="Calibri"/>
        <family val="2"/>
        <scheme val="minor"/>
      </rPr>
      <t xml:space="preserve"> </t>
    </r>
    <r>
      <rPr>
        <sz val="11"/>
        <color theme="1"/>
        <rFont val="Calibri"/>
        <family val="2"/>
        <scheme val="minor"/>
      </rPr>
      <t>recorded the strongest monthly performance.</t>
    </r>
  </si>
  <si>
    <r>
      <rPr>
        <b/>
        <sz val="11"/>
        <color theme="3"/>
        <rFont val="Calibri"/>
        <family val="2"/>
        <scheme val="minor"/>
      </rPr>
      <t>Alice</t>
    </r>
    <r>
      <rPr>
        <sz val="11"/>
        <color theme="1"/>
        <rFont val="Calibri"/>
        <family val="2"/>
        <scheme val="minor"/>
      </rPr>
      <t xml:space="preserve"> was the top salesperson by total profit</t>
    </r>
  </si>
  <si>
    <t>Recommendations</t>
  </si>
  <si>
    <r>
      <t xml:space="preserve">Increase focus on </t>
    </r>
    <r>
      <rPr>
        <b/>
        <sz val="11"/>
        <color theme="1"/>
        <rFont val="Calibri"/>
        <family val="2"/>
        <scheme val="minor"/>
      </rPr>
      <t>Laptop</t>
    </r>
    <r>
      <rPr>
        <sz val="11"/>
        <color theme="1"/>
        <rFont val="Calibri"/>
        <family val="2"/>
        <scheme val="minor"/>
      </rPr>
      <t xml:space="preserve"> sales due to strong profitability.</t>
    </r>
  </si>
  <si>
    <r>
      <t xml:space="preserve">Use </t>
    </r>
    <r>
      <rPr>
        <b/>
        <sz val="11"/>
        <color theme="1"/>
        <rFont val="Calibri"/>
        <family val="2"/>
        <scheme val="minor"/>
      </rPr>
      <t>Headphones</t>
    </r>
    <r>
      <rPr>
        <sz val="11"/>
        <color theme="1"/>
        <rFont val="Calibri"/>
        <family val="2"/>
        <scheme val="minor"/>
      </rPr>
      <t xml:space="preserve"> as a volume-driving product in promotions.</t>
    </r>
  </si>
  <si>
    <r>
      <t xml:space="preserve">Analyze </t>
    </r>
    <r>
      <rPr>
        <b/>
        <sz val="11"/>
        <color theme="1"/>
        <rFont val="Calibri"/>
        <family val="2"/>
        <scheme val="minor"/>
      </rPr>
      <t>Alice’s</t>
    </r>
    <r>
      <rPr>
        <sz val="11"/>
        <color theme="1"/>
        <rFont val="Calibri"/>
        <family val="2"/>
        <scheme val="minor"/>
      </rPr>
      <t xml:space="preserve"> sales strategy and share best practices with the team.</t>
    </r>
  </si>
  <si>
    <t>Review weaker months and regions to improve consistency.</t>
  </si>
  <si>
    <r>
      <t xml:space="preserve">   Prioritize sales and marketing efforts in the </t>
    </r>
    <r>
      <rPr>
        <b/>
        <sz val="11"/>
        <color theme="1"/>
        <rFont val="Calibri"/>
        <family val="2"/>
        <scheme val="minor"/>
      </rPr>
      <t>West</t>
    </r>
    <r>
      <rPr>
        <sz val="11"/>
        <color theme="1"/>
        <rFont val="Calibri"/>
        <family val="2"/>
        <scheme val="minor"/>
      </rPr>
      <t xml:space="preserve"> region.</t>
    </r>
  </si>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</sst>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dd\-mmm\-yyyy"/>
    <numFmt numFmtId="165" formatCode="_-&quot;£&quot;* #,##0_-;\-&quot;£&quot;* #,##0_-;_-&quot;£&quot;* &quot;-&quot;??_-;_-@_-"/>
    <numFmt numFmtId="166" formatCode="&quot;£&quot;#,##0"/>
    <numFmt numFmtId="167" formatCode="_-* #,##0_-;\-* #,##0_-;_-* &quot;-&quot;??_-;_-@_-"/>
  </numFmts>
  <fonts count="9" x14ac:knownFonts="1">
    <font>
      <sz val="11"/>
      <color theme="1"/>
      <name val="Calibri"/>
      <family val="2"/>
      <scheme val="minor"/>
    </font>
    <font>
      <sz val="11"/>
      <color theme="1"/>
      <name val="Calibri"/>
      <family val="2"/>
      <scheme val="minor"/>
    </font>
    <font>
      <b/>
      <sz val="11"/>
      <color theme="3"/>
      <name val="Calibri"/>
      <family val="2"/>
      <scheme val="minor"/>
    </font>
    <font>
      <b/>
      <sz val="11"/>
      <color theme="1"/>
      <name val="Calibri"/>
      <family val="2"/>
      <scheme val="minor"/>
    </font>
    <font>
      <sz val="11"/>
      <color theme="3"/>
      <name val="Calibri"/>
      <family val="2"/>
      <scheme val="minor"/>
    </font>
    <font>
      <b/>
      <sz val="14"/>
      <color theme="3"/>
      <name val="Calibri"/>
      <family val="2"/>
      <scheme val="minor"/>
    </font>
    <font>
      <b/>
      <sz val="16"/>
      <color theme="1"/>
      <name val="Calibri"/>
      <family val="2"/>
      <scheme val="minor"/>
    </font>
    <font>
      <b/>
      <sz val="22"/>
      <color theme="3"/>
      <name val="Calibri"/>
      <family val="2"/>
      <scheme val="minor"/>
    </font>
    <font>
      <sz val="2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0">
    <xf numFmtId="0" fontId="0" fillId="0" borderId="0" xfId="0"/>
    <xf numFmtId="1" fontId="0" fillId="0" borderId="0" xfId="0" applyNumberFormat="1"/>
    <xf numFmtId="164" fontId="0" fillId="0" borderId="0" xfId="0" applyNumberFormat="1"/>
    <xf numFmtId="165" fontId="0" fillId="0" borderId="0" xfId="0" applyNumberFormat="1"/>
    <xf numFmtId="9" fontId="0" fillId="0" borderId="0" xfId="1" applyFont="1"/>
    <xf numFmtId="166" fontId="0" fillId="0" borderId="0" xfId="0" applyNumberFormat="1"/>
    <xf numFmtId="0" fontId="0" fillId="0" borderId="0" xfId="0" pivotButton="1"/>
    <xf numFmtId="0" fontId="0" fillId="0" borderId="0" xfId="0" applyAlignment="1">
      <alignment horizontal="left"/>
    </xf>
    <xf numFmtId="0" fontId="3" fillId="0" borderId="0" xfId="0" applyFont="1"/>
    <xf numFmtId="0" fontId="4" fillId="0" borderId="0" xfId="0" applyFont="1"/>
    <xf numFmtId="0" fontId="5" fillId="0" borderId="0" xfId="0" applyFont="1"/>
    <xf numFmtId="0" fontId="2" fillId="0" borderId="0" xfId="0" applyFont="1"/>
    <xf numFmtId="166" fontId="6" fillId="0" borderId="0" xfId="0" applyNumberFormat="1" applyFont="1"/>
    <xf numFmtId="167" fontId="6" fillId="0" borderId="0" xfId="2" applyNumberFormat="1" applyFont="1"/>
    <xf numFmtId="9" fontId="6" fillId="0" borderId="0" xfId="1" applyFont="1"/>
    <xf numFmtId="0" fontId="7" fillId="2" borderId="0" xfId="0" applyFont="1" applyFill="1" applyAlignment="1">
      <alignment horizontal="center"/>
    </xf>
    <xf numFmtId="0" fontId="8" fillId="2" borderId="0" xfId="0" applyFont="1" applyFill="1" applyAlignment="1">
      <alignment horizontal="center"/>
    </xf>
    <xf numFmtId="0" fontId="6" fillId="0" borderId="0" xfId="0" applyFont="1"/>
    <xf numFmtId="0" fontId="0" fillId="0" borderId="0" xfId="0" applyAlignment="1">
      <alignment horizontal="left" vertical="center" indent="1"/>
    </xf>
    <xf numFmtId="165" fontId="6" fillId="0" borderId="0" xfId="0" applyNumberFormat="1" applyFont="1"/>
  </cellXfs>
  <cellStyles count="3">
    <cellStyle name="Comma" xfId="2" builtinId="3"/>
    <cellStyle name="Normal" xfId="0" builtinId="0"/>
    <cellStyle name="Percent" xfId="1" builtinId="5"/>
  </cellStyles>
  <dxfs count="12">
    <dxf>
      <font>
        <color rgb="FF006100"/>
      </font>
      <fill>
        <patternFill>
          <bgColor rgb="FFC6EFCE"/>
        </patternFill>
      </fill>
    </dxf>
    <dxf>
      <numFmt numFmtId="1" formatCode="0"/>
    </dxf>
    <dxf>
      <numFmt numFmtId="1" formatCode="0"/>
    </dxf>
    <dxf>
      <numFmt numFmtId="1" formatCode="0"/>
    </dxf>
    <dxf>
      <numFmt numFmtId="1" formatCode="0"/>
    </dxf>
    <dxf>
      <numFmt numFmtId="165" formatCode="_-&quot;£&quot;* #,##0_-;\-&quot;£&quot;* #,##0_-;_-&quot;£&quot;* &quot;-&quot;??_-;_-@_-"/>
    </dxf>
    <dxf>
      <numFmt numFmtId="165" formatCode="_-&quot;£&quot;* #,##0_-;\-&quot;£&quot;* #,##0_-;_-&quot;£&quot;* &quot;-&quot;??_-;_-@_-"/>
    </dxf>
    <dxf>
      <numFmt numFmtId="165" formatCode="_-&quot;£&quot;* #,##0_-;\-&quot;£&quot;* #,##0_-;_-&quot;£&quot;* &quot;-&quot;??_-;_-@_-"/>
    </dxf>
    <dxf>
      <numFmt numFmtId="1" formatCode="0"/>
    </dxf>
    <dxf>
      <numFmt numFmtId="1" formatCode="0"/>
    </dxf>
    <dxf>
      <numFmt numFmtId="164" formatCode="dd\-mmm\-yyyy"/>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[Excel_Portfolio_Project_Dataset.xlsx]Pivot_tbl!PivotTable4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Pivot_tbl!$B$36</c:f>
              <c:strCache>
                <c:ptCount val="1"/>
                <c:pt idx="0">
                  <c:v>Total</c:v>
                </c:pt>
              </c:strCache>
            </c:strRef>
          </c:tx>
          <c:spPr>
            <a:solidFill>
              <a:schemeClr val="accent1"/>
            </a:solidFill>
            <a:ln>
              <a:noFill/>
            </a:ln>
            <a:effectLst/>
          </c:spPr>
          <c:invertIfNegative val="0"/>
          <c:cat>
            <c:strRef>
              <c:f>Pivot_tbl!$A$37:$A$43</c:f>
              <c:strCache>
                <c:ptCount val="6"/>
                <c:pt idx="0">
                  <c:v>Alice</c:v>
                </c:pt>
                <c:pt idx="1">
                  <c:v>Ben</c:v>
                </c:pt>
                <c:pt idx="2">
                  <c:v>Clara</c:v>
                </c:pt>
                <c:pt idx="3">
                  <c:v>David</c:v>
                </c:pt>
                <c:pt idx="4">
                  <c:v>Emma</c:v>
                </c:pt>
                <c:pt idx="5">
                  <c:v>Frank</c:v>
                </c:pt>
              </c:strCache>
            </c:strRef>
          </c:cat>
          <c:val>
            <c:numRef>
              <c:f>Pivot_tbl!$B$37:$B$43</c:f>
              <c:numCache>
                <c:formatCode>_-"£"* #,##0_-;\-"£"* #,##0_-;_-"£"* "-"??_-;_-@_-</c:formatCode>
                <c:ptCount val="6"/>
                <c:pt idx="0">
                  <c:v>43210</c:v>
                </c:pt>
                <c:pt idx="1">
                  <c:v>32570</c:v>
                </c:pt>
                <c:pt idx="2">
                  <c:v>40070</c:v>
                </c:pt>
                <c:pt idx="3">
                  <c:v>40920</c:v>
                </c:pt>
                <c:pt idx="4">
                  <c:v>25830</c:v>
                </c:pt>
                <c:pt idx="5">
                  <c:v>28100</c:v>
                </c:pt>
              </c:numCache>
            </c:numRef>
          </c:val>
          <c:extLst>
            <c:ext xmlns:c16="http://schemas.microsoft.com/office/drawing/2014/chart" uri="{C3380CC4-5D6E-409C-BE32-E72D297353CC}">
              <c16:uniqueId val="{00000000-E5D9-4492-BE34-5CEB11244621}"/>
            </c:ext>
          </c:extLst>
        </c:ser>
        <c:dLbls>
          <c:showLegendKey val="0"/>
          <c:showVal val="0"/>
          <c:showCatName val="0"/>
          <c:showSerName val="0"/>
          <c:showPercent val="0"/>
          <c:showBubbleSize val="0"/>
        </c:dLbls>
        <c:gapWidth val="219"/>
        <c:overlap val="-27"/>
        <c:axId val="1235202719"/>
        <c:axId val="1235195519"/>
      </c:barChart>
      <c:catAx>
        <c:axId val="123520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95519"/>
        <c:crosses val="autoZero"/>
        <c:auto val="1"/>
        <c:lblAlgn val="ctr"/>
        <c:lblOffset val="100"/>
        <c:noMultiLvlLbl val="0"/>
      </c:catAx>
      <c:valAx>
        <c:axId val="12351955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2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[Excel_Portfolio_Project_Dataset.xlsx]Pivot_tbl!PivotTable6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Pivot_tbl!$B$55</c:f>
              <c:strCache>
                <c:ptCount val="1"/>
                <c:pt idx="0">
                  <c:v>Total</c:v>
                </c:pt>
              </c:strCache>
            </c:strRef>
          </c:tx>
          <c:spPr>
            <a:solidFill>
              <a:schemeClr val="accent1"/>
            </a:solidFill>
            <a:ln>
              <a:noFill/>
            </a:ln>
            <a:effectLst/>
          </c:spPr>
          <c:invertIfNegative val="0"/>
          <c:cat>
            <c:strRef>
              <c:f>Pivot_tbl!$A$56:$A$62</c:f>
              <c:strCache>
                <c:ptCount val="6"/>
                <c:pt idx="0">
                  <c:v>Chair</c:v>
                </c:pt>
                <c:pt idx="1">
                  <c:v>Desk</c:v>
                </c:pt>
                <c:pt idx="2">
                  <c:v>Headphones</c:v>
                </c:pt>
                <c:pt idx="3">
                  <c:v>Laptop</c:v>
                </c:pt>
                <c:pt idx="4">
                  <c:v>Monitor</c:v>
                </c:pt>
                <c:pt idx="5">
                  <c:v>Phone</c:v>
                </c:pt>
              </c:strCache>
            </c:strRef>
          </c:cat>
          <c:val>
            <c:numRef>
              <c:f>Pivot_tbl!$B$56:$B$62</c:f>
              <c:numCache>
                <c:formatCode>0</c:formatCode>
                <c:ptCount val="6"/>
                <c:pt idx="0">
                  <c:v>289</c:v>
                </c:pt>
                <c:pt idx="1">
                  <c:v>343</c:v>
                </c:pt>
                <c:pt idx="2">
                  <c:v>544</c:v>
                </c:pt>
                <c:pt idx="3">
                  <c:v>341</c:v>
                </c:pt>
                <c:pt idx="4">
                  <c:v>323</c:v>
                </c:pt>
                <c:pt idx="5">
                  <c:v>332</c:v>
                </c:pt>
              </c:numCache>
            </c:numRef>
          </c:val>
          <c:extLst>
            <c:ext xmlns:c16="http://schemas.microsoft.com/office/drawing/2014/chart" uri="{C3380CC4-5D6E-409C-BE32-E72D297353CC}">
              <c16:uniqueId val="{00000000-800B-4776-9857-9BEEEE535273}"/>
            </c:ext>
          </c:extLst>
        </c:ser>
        <c:dLbls>
          <c:showLegendKey val="0"/>
          <c:showVal val="0"/>
          <c:showCatName val="0"/>
          <c:showSerName val="0"/>
          <c:showPercent val="0"/>
          <c:showBubbleSize val="0"/>
        </c:dLbls>
        <c:gapWidth val="219"/>
        <c:overlap val="-27"/>
        <c:axId val="1235215199"/>
        <c:axId val="1235209439"/>
      </c:barChart>
      <c:catAx>
        <c:axId val="123521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209439"/>
        <c:crosses val="autoZero"/>
        <c:auto val="1"/>
        <c:lblAlgn val="ctr"/>
        <c:lblOffset val="100"/>
        <c:noMultiLvlLbl val="0"/>
      </c:catAx>
      <c:valAx>
        <c:axId val="12352094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21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[Excel_Portfolio_Project_Dataset.xlsx]Pivot_tbl!PivotTable1</c:name>
    <c:fmtId val="6"/>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a:solidFill>
                  <a:schemeClr val="tx2">
                    <a:lumMod val="60000"/>
                    <a:lumOff val="40000"/>
                  </a:schemeClr>
                </a:solidFill>
              </a:rPr>
              <a:t>Revenue</a:t>
            </a:r>
            <a:r>
              <a:rPr lang="en-US" baseline="0">
                <a:solidFill>
                  <a:schemeClr val="tx2">
                    <a:lumMod val="60000"/>
                    <a:lumOff val="40000"/>
                  </a:schemeClr>
                </a:solidFill>
              </a:rPr>
              <a:t> by Region</a:t>
            </a:r>
            <a:endParaRPr lang="en-US">
              <a:solidFill>
                <a:schemeClr val="tx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78480574543563"/>
          <c:y val="0.22463620053822383"/>
          <c:w val="0.61724928614692398"/>
          <c:h val="0.61842868533838335"/>
        </c:manualLayout>
      </c:layout>
      <c:barChart>
        <c:barDir val="col"/>
        <c:grouping val="clustered"/>
        <c:varyColors val="0"/>
        <c:ser>
          <c:idx val="0"/>
          <c:order val="0"/>
          <c:tx>
            <c:strRef>
              <c:f>Pivot_tbl!$B$1</c:f>
              <c:strCache>
                <c:ptCount val="1"/>
                <c:pt idx="0">
                  <c:v>Total</c:v>
                </c:pt>
              </c:strCache>
            </c:strRef>
          </c:tx>
          <c:spPr>
            <a:solidFill>
              <a:schemeClr val="accent1"/>
            </a:solidFill>
            <a:ln>
              <a:noFill/>
            </a:ln>
            <a:effectLst/>
          </c:spPr>
          <c:invertIfNegative val="0"/>
          <c:cat>
            <c:strRef>
              <c:f>Pivot_tbl!$A$2:$A$6</c:f>
              <c:strCache>
                <c:ptCount val="4"/>
                <c:pt idx="0">
                  <c:v>East</c:v>
                </c:pt>
                <c:pt idx="1">
                  <c:v>North</c:v>
                </c:pt>
                <c:pt idx="2">
                  <c:v>South</c:v>
                </c:pt>
                <c:pt idx="3">
                  <c:v>West</c:v>
                </c:pt>
              </c:strCache>
            </c:strRef>
          </c:cat>
          <c:val>
            <c:numRef>
              <c:f>Pivot_tbl!$B$2:$B$6</c:f>
              <c:numCache>
                <c:formatCode>_-"£"* #,##0_-;\-"£"* #,##0_-;_-"£"* "-"??_-;_-@_-</c:formatCode>
                <c:ptCount val="4"/>
                <c:pt idx="0">
                  <c:v>200020</c:v>
                </c:pt>
                <c:pt idx="1">
                  <c:v>148190</c:v>
                </c:pt>
                <c:pt idx="2">
                  <c:v>172350</c:v>
                </c:pt>
                <c:pt idx="3">
                  <c:v>230270</c:v>
                </c:pt>
              </c:numCache>
            </c:numRef>
          </c:val>
          <c:extLst>
            <c:ext xmlns:c16="http://schemas.microsoft.com/office/drawing/2014/chart" uri="{C3380CC4-5D6E-409C-BE32-E72D297353CC}">
              <c16:uniqueId val="{00000000-2ADE-4889-BE3A-58DC6B5C7071}"/>
            </c:ext>
          </c:extLst>
        </c:ser>
        <c:dLbls>
          <c:showLegendKey val="0"/>
          <c:showVal val="0"/>
          <c:showCatName val="0"/>
          <c:showSerName val="0"/>
          <c:showPercent val="0"/>
          <c:showBubbleSize val="0"/>
        </c:dLbls>
        <c:gapWidth val="219"/>
        <c:overlap val="-27"/>
        <c:axId val="1235160959"/>
        <c:axId val="1235167679"/>
      </c:barChart>
      <c:catAx>
        <c:axId val="123516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67679"/>
        <c:crosses val="autoZero"/>
        <c:auto val="1"/>
        <c:lblAlgn val="ctr"/>
        <c:lblOffset val="100"/>
        <c:noMultiLvlLbl val="0"/>
      </c:catAx>
      <c:valAx>
        <c:axId val="12351676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6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[Excel_Portfolio_Project_Dataset.xlsx]Pivot_tbl!PivotTable3</c:name>
    <c:fmtId val="7"/>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GB">
                <a:solidFill>
                  <a:schemeClr val="tx2">
                    <a:lumMod val="60000"/>
                    <a:lumOff val="40000"/>
                  </a:schemeClr>
                </a:solidFill>
              </a:rPr>
              <a:t>Monthly</a:t>
            </a:r>
            <a:r>
              <a:rPr lang="en-GB" baseline="0">
                <a:solidFill>
                  <a:schemeClr val="tx2">
                    <a:lumMod val="60000"/>
                    <a:lumOff val="40000"/>
                  </a:schemeClr>
                </a:solidFill>
              </a:rPr>
              <a:t> Revenue Trend</a:t>
            </a:r>
            <a:endParaRPr lang="en-GB">
              <a:solidFill>
                <a:schemeClr val="tx2">
                  <a:lumMod val="60000"/>
                  <a:lumOff val="4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a:solidFill>
              <a:schemeClr val="tx2">
                <a:lumMod val="60000"/>
                <a:lumOff val="40000"/>
              </a:schemeClr>
            </a:solidFill>
          </a:ln>
          <a:effectLst/>
        </c:spPr>
        <c:dLbl>
          <c:idx val="0"/>
          <c:delete val="1"/>
          <c:extLst>
            <c:ext xmlns:c15="http://schemas.microsoft.com/office/drawing/2012/chart" uri="{CE6537A1-D6FC-4f65-9D91-7224C49458BB}"/>
          </c:extLst>
        </c:dLbl>
      </c:pivotFmt>
    </c:pivotFmts>
    <c:plotArea>
      <c:layout>
        <c:manualLayout>
          <c:layoutTarget val="inner"/>
          <c:xMode val="edge"/>
          <c:yMode val="edge"/>
          <c:x val="0.22945340570292791"/>
          <c:y val="0.25664634146341464"/>
          <c:w val="0.53940035165507227"/>
          <c:h val="0.60132129825235259"/>
        </c:manualLayout>
      </c:layout>
      <c:lineChart>
        <c:grouping val="standard"/>
        <c:varyColors val="0"/>
        <c:ser>
          <c:idx val="0"/>
          <c:order val="0"/>
          <c:tx>
            <c:strRef>
              <c:f>Pivot_tbl!$B$19</c:f>
              <c:strCache>
                <c:ptCount val="1"/>
                <c:pt idx="0">
                  <c:v>Total</c:v>
                </c:pt>
              </c:strCache>
            </c:strRef>
          </c:tx>
          <c:spPr>
            <a:ln>
              <a:solidFill>
                <a:schemeClr val="tx2">
                  <a:lumMod val="60000"/>
                  <a:lumOff val="40000"/>
                </a:schemeClr>
              </a:solidFill>
            </a:ln>
            <a:effectLst/>
          </c:spPr>
          <c:cat>
            <c:strRef>
              <c:f>Pivot_tbl!$A$20:$A$32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Pivot_tbl!$B$20:$B$32</c:f>
              <c:numCache>
                <c:formatCode>_-"£"* #,##0_-;\-"£"* #,##0_-;_-"£"* "-"??_-;_-@_-</c:formatCode>
                <c:ptCount val="12"/>
                <c:pt idx="0">
                  <c:v>70370</c:v>
                </c:pt>
                <c:pt idx="1">
                  <c:v>62770</c:v>
                </c:pt>
                <c:pt idx="2">
                  <c:v>28290</c:v>
                </c:pt>
                <c:pt idx="3">
                  <c:v>55220</c:v>
                </c:pt>
                <c:pt idx="4">
                  <c:v>45600</c:v>
                </c:pt>
                <c:pt idx="5">
                  <c:v>64530</c:v>
                </c:pt>
                <c:pt idx="6">
                  <c:v>99890</c:v>
                </c:pt>
                <c:pt idx="7">
                  <c:v>86470</c:v>
                </c:pt>
                <c:pt idx="8">
                  <c:v>39760</c:v>
                </c:pt>
                <c:pt idx="9">
                  <c:v>68440</c:v>
                </c:pt>
                <c:pt idx="10">
                  <c:v>46530</c:v>
                </c:pt>
                <c:pt idx="11">
                  <c:v>82960</c:v>
                </c:pt>
              </c:numCache>
            </c:numRef>
          </c:val>
          <c:smooth val="0"/>
          <c:extLst>
            <c:ext xmlns:c16="http://schemas.microsoft.com/office/drawing/2014/chart" uri="{C3380CC4-5D6E-409C-BE32-E72D297353CC}">
              <c16:uniqueId val="{00000000-09C5-4F53-B283-A13611588440}"/>
            </c:ext>
          </c:extLst>
        </c:ser>
        <c:dLbls>
          <c:showLegendKey val="0"/>
          <c:showVal val="0"/>
          <c:showCatName val="0"/>
          <c:showSerName val="0"/>
          <c:showPercent val="0"/>
          <c:showBubbleSize val="0"/>
        </c:dLbls>
        <c:marker val="1"/>
        <c:smooth val="0"/>
        <c:axId val="1235160959"/>
        <c:axId val="1235167679"/>
      </c:lineChart>
      <c:catAx>
        <c:axId val="123516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67679"/>
        <c:crosses val="autoZero"/>
        <c:auto val="1"/>
        <c:lblAlgn val="ctr"/>
        <c:lblOffset val="100"/>
        <c:noMultiLvlLbl val="0"/>
      </c:catAx>
      <c:valAx>
        <c:axId val="12351676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609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[Excel_Portfolio_Project_Dataset.xlsx]Pivot_tbl!PivotTable5</c:name>
    <c:fmtId val="6"/>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a:solidFill>
                  <a:schemeClr val="tx2">
                    <a:lumMod val="60000"/>
                    <a:lumOff val="40000"/>
                  </a:schemeClr>
                </a:solidFill>
              </a:rPr>
              <a:t>Revenue</a:t>
            </a:r>
            <a:r>
              <a:rPr lang="en-US" baseline="0">
                <a:solidFill>
                  <a:schemeClr val="tx2">
                    <a:lumMod val="60000"/>
                    <a:lumOff val="40000"/>
                  </a:schemeClr>
                </a:solidFill>
              </a:rPr>
              <a:t> by Category</a:t>
            </a:r>
          </a:p>
        </c:rich>
      </c:tx>
      <c:layout>
        <c:manualLayout>
          <c:xMode val="edge"/>
          <c:yMode val="edge"/>
          <c:x val="0.34863883847549909"/>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Pivot_tbl!$B$47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D4-43DB-9ADE-E151675BD7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D4-43DB-9ADE-E151675BD7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D4-43DB-9ADE-E151675BD75C}"/>
              </c:ext>
            </c:extLst>
          </c:dPt>
          <c:cat>
            <c:strRef>
              <c:f>Pivot_tbl!$A$48:$A$51</c:f>
              <c:strCache>
                <c:ptCount val="3"/>
                <c:pt idx="0">
                  <c:v>Accessories</c:v>
                </c:pt>
                <c:pt idx="1">
                  <c:v>Electronics</c:v>
                </c:pt>
                <c:pt idx="2">
                  <c:v>Furniture</c:v>
                </c:pt>
              </c:strCache>
            </c:strRef>
          </c:cat>
          <c:val>
            <c:numRef>
              <c:f>Pivot_tbl!$B$48:$B$51</c:f>
              <c:numCache>
                <c:formatCode>_-"£"* #,##0_-;\-"£"* #,##0_-;_-"£"* "-"??_-;_-@_-</c:formatCode>
                <c:ptCount val="3"/>
                <c:pt idx="0">
                  <c:v>48960</c:v>
                </c:pt>
                <c:pt idx="1">
                  <c:v>585950</c:v>
                </c:pt>
                <c:pt idx="2">
                  <c:v>115920</c:v>
                </c:pt>
              </c:numCache>
            </c:numRef>
          </c:val>
          <c:extLst>
            <c:ext xmlns:c16="http://schemas.microsoft.com/office/drawing/2014/chart" uri="{C3380CC4-5D6E-409C-BE32-E72D297353CC}">
              <c16:uniqueId val="{00000006-DBD4-43DB-9ADE-E151675BD7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[Excel_Portfolio_Project_Dataset.xlsx]Pivot_tbl!PivotTable2</c:name>
    <c:fmtId val="9"/>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a:solidFill>
                  <a:schemeClr val="tx2">
                    <a:lumMod val="60000"/>
                    <a:lumOff val="40000"/>
                  </a:schemeClr>
                </a:solidFill>
              </a:rPr>
              <a:t>Profit</a:t>
            </a:r>
            <a:r>
              <a:rPr lang="en-US" baseline="0">
                <a:solidFill>
                  <a:schemeClr val="tx2">
                    <a:lumMod val="60000"/>
                    <a:lumOff val="40000"/>
                  </a:schemeClr>
                </a:solidFill>
              </a:rPr>
              <a:t> by Prdouct</a:t>
            </a:r>
            <a:endParaRPr lang="en-US">
              <a:solidFill>
                <a:schemeClr val="tx2">
                  <a:lumMod val="60000"/>
                  <a:lumOff val="40000"/>
                </a:schemeClr>
              </a:solidFill>
            </a:endParaRPr>
          </a:p>
        </c:rich>
      </c:tx>
      <c:layout>
        <c:manualLayout>
          <c:xMode val="edge"/>
          <c:yMode val="edge"/>
          <c:x val="0.3212547528517110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Pivot_tbl!$B$9</c:f>
              <c:strCache>
                <c:ptCount val="1"/>
                <c:pt idx="0">
                  <c:v>Total</c:v>
                </c:pt>
              </c:strCache>
            </c:strRef>
          </c:tx>
          <c:spPr>
            <a:solidFill>
              <a:schemeClr val="accent1"/>
            </a:solidFill>
            <a:ln>
              <a:noFill/>
            </a:ln>
            <a:effectLst/>
          </c:spPr>
          <c:invertIfNegative val="0"/>
          <c:cat>
            <c:strRef>
              <c:f>Pivot_tbl!$A$10:$A$16</c:f>
              <c:strCache>
                <c:ptCount val="6"/>
                <c:pt idx="0">
                  <c:v>Chair</c:v>
                </c:pt>
                <c:pt idx="1">
                  <c:v>Desk</c:v>
                </c:pt>
                <c:pt idx="2">
                  <c:v>Headphones</c:v>
                </c:pt>
                <c:pt idx="3">
                  <c:v>Laptop</c:v>
                </c:pt>
                <c:pt idx="4">
                  <c:v>Monitor</c:v>
                </c:pt>
                <c:pt idx="5">
                  <c:v>Phone</c:v>
                </c:pt>
              </c:strCache>
            </c:strRef>
          </c:cat>
          <c:val>
            <c:numRef>
              <c:f>Pivot_tbl!$B$10:$B$16</c:f>
              <c:numCache>
                <c:formatCode>_-"£"* #,##0_-;\-"£"* #,##0_-;_-"£"* "-"??_-;_-@_-</c:formatCode>
                <c:ptCount val="6"/>
                <c:pt idx="0">
                  <c:v>14450</c:v>
                </c:pt>
                <c:pt idx="1">
                  <c:v>24010</c:v>
                </c:pt>
                <c:pt idx="2">
                  <c:v>21760</c:v>
                </c:pt>
                <c:pt idx="3">
                  <c:v>68200</c:v>
                </c:pt>
                <c:pt idx="4">
                  <c:v>25840</c:v>
                </c:pt>
                <c:pt idx="5">
                  <c:v>56440</c:v>
                </c:pt>
              </c:numCache>
            </c:numRef>
          </c:val>
          <c:extLst>
            <c:ext xmlns:c16="http://schemas.microsoft.com/office/drawing/2014/chart" uri="{C3380CC4-5D6E-409C-BE32-E72D297353CC}">
              <c16:uniqueId val="{00000000-4865-4D84-BBF5-B42B5C07BA5B}"/>
            </c:ext>
          </c:extLst>
        </c:ser>
        <c:dLbls>
          <c:showLegendKey val="0"/>
          <c:showVal val="0"/>
          <c:showCatName val="0"/>
          <c:showSerName val="0"/>
          <c:showPercent val="0"/>
          <c:showBubbleSize val="0"/>
        </c:dLbls>
        <c:gapWidth val="219"/>
        <c:overlap val="-27"/>
        <c:axId val="1468687023"/>
        <c:axId val="1468692303"/>
      </c:barChart>
      <c:catAx>
        <c:axId val="146868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92303"/>
        <c:crosses val="autoZero"/>
        <c:auto val="1"/>
        <c:lblAlgn val="ctr"/>
        <c:lblOffset val="100"/>
        <c:noMultiLvlLbl val="0"/>
      </c:catAx>
      <c:valAx>
        <c:axId val="14686923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19050</xdr:colOff>
      <xdr:row>37</xdr:row>
      <xdr:rowOff>44450</xdr:rowOff>
    </xdr:from>
    <xdr:to>
      <xdr:col>8</xdr:col>
      <xdr:colOff>355600</xdr:colOff>
      <xdr:row>46</xdr:row>
      <xdr:rowOff>120650</xdr:rowOff>
    </xdr:to>
    <xdr:graphicFrame macro="">
      <xdr:nvGraphicFramePr>
        <xdr:cNvPr id="5" name="Chart 4">
          <a:extLst>
            <a:ext uri="{FF2B5EF4-FFF2-40B4-BE49-F238E27FC236}">
              <a16:creationId xmlns:a16="http://schemas.microsoft.com/office/drawing/2014/main" id="{D0ABAD65-8002-A0E5-62A4-24AEAD7D0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59</xdr:row>
      <xdr:rowOff>76200</xdr:rowOff>
    </xdr:from>
    <xdr:to>
      <xdr:col>8</xdr:col>
      <xdr:colOff>412750</xdr:colOff>
      <xdr:row>71</xdr:row>
      <xdr:rowOff>82550</xdr:rowOff>
    </xdr:to>
    <xdr:graphicFrame macro="">
      <xdr:nvGraphicFramePr>
        <xdr:cNvPr id="7" name="Chart 6">
          <a:extLst>
            <a:ext uri="{FF2B5EF4-FFF2-40B4-BE49-F238E27FC236}">
              <a16:creationId xmlns:a16="http://schemas.microsoft.com/office/drawing/2014/main" id="{4B3531C3-C363-902F-F6BE-8E1FBF418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203200</xdr:colOff>
      <xdr:row>6</xdr:row>
      <xdr:rowOff>95250</xdr:rowOff>
    </xdr:from>
    <xdr:to>
      <xdr:col>5</xdr:col>
      <xdr:colOff>330200</xdr:colOff>
      <xdr:row>18</xdr:row>
      <xdr:rowOff>114300</xdr:rowOff>
    </xdr:to>
    <xdr:graphicFrame macro="">
      <xdr:nvGraphicFramePr>
        <xdr:cNvPr id="2" name="Chart 1">
          <a:extLst>
            <a:ext uri="{FF2B5EF4-FFF2-40B4-BE49-F238E27FC236}">
              <a16:creationId xmlns:a16="http://schemas.microsoft.com/office/drawing/2014/main" id="{B430FA12-F066-4440-93D5-3331E4B54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628650</xdr:colOff>
      <xdr:row>19</xdr:row>
      <xdr:rowOff>114300</xdr:rowOff>
    </xdr:from>
    <xdr:to>
      <xdr:col>11</xdr:col>
      <xdr:colOff>368300</xdr:colOff>
      <xdr:row>34</xdr:row>
      <xdr:rowOff>31750</xdr:rowOff>
    </xdr:to>
    <xdr:graphicFrame macro="">
      <xdr:nvGraphicFramePr>
        <xdr:cNvPr id="3" name="Chart 2">
          <a:extLst>
            <a:ext uri="{FF2B5EF4-FFF2-40B4-BE49-F238E27FC236}">
              <a16:creationId xmlns:a16="http://schemas.microsoft.com/office/drawing/2014/main" id="{61954490-F265-4F60-A082-104D3B6F1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177800</xdr:colOff>
      <xdr:row>19</xdr:row>
      <xdr:rowOff>114300</xdr:rowOff>
    </xdr:from>
    <xdr:to>
      <xdr:col>5</xdr:col>
      <xdr:colOff>336550</xdr:colOff>
      <xdr:row>34</xdr:row>
      <xdr:rowOff>63500</xdr:rowOff>
    </xdr:to>
    <xdr:graphicFrame macro="">
      <xdr:nvGraphicFramePr>
        <xdr:cNvPr id="5" name="Chart 4">
          <a:extLst>
            <a:ext uri="{FF2B5EF4-FFF2-40B4-BE49-F238E27FC236}">
              <a16:creationId xmlns:a16="http://schemas.microsoft.com/office/drawing/2014/main" id="{82134C94-4537-41D1-B6D0-AFDFDDB05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95250</xdr:colOff>
      <xdr:row>2</xdr:row>
      <xdr:rowOff>82550</xdr:rowOff>
    </xdr:from>
    <xdr:to>
      <xdr:col>15</xdr:col>
      <xdr:colOff>77050</xdr:colOff>
      <xdr:row>9</xdr:row>
      <xdr:rowOff>6350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FE48AC6A-7FD2-C539-AAFE-EC9B3C37C9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39150" y="628650"/>
              <a:ext cx="1836000" cy="1377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107950</xdr:colOff>
      <xdr:row>26</xdr:row>
      <xdr:rowOff>82551</xdr:rowOff>
    </xdr:from>
    <xdr:to>
      <xdr:col>15</xdr:col>
      <xdr:colOff>82550</xdr:colOff>
      <xdr:row>37</xdr:row>
      <xdr:rowOff>76201</xdr:rowOff>
    </xdr:to>
    <mc:AlternateContent xmlns:mc="http://schemas.openxmlformats.org/markup-compatibility/2006">
      <mc:Choice xmlns:a14="http://schemas.microsoft.com/office/drawing/2010/main" Requires="a14">
        <xdr:graphicFrame macro="">
          <xdr:nvGraphicFramePr>
            <xdr:cNvPr id="7" name="Salesperson">
              <a:extLst>
                <a:ext uri="{FF2B5EF4-FFF2-40B4-BE49-F238E27FC236}">
                  <a16:creationId xmlns:a16="http://schemas.microsoft.com/office/drawing/2014/main" id="{3DB7E393-72EA-8FC0-9DB3-C251755BBF8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451850" y="5213351"/>
              <a:ext cx="1828800" cy="2019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107950</xdr:colOff>
      <xdr:row>15</xdr:row>
      <xdr:rowOff>146051</xdr:rowOff>
    </xdr:from>
    <xdr:to>
      <xdr:col>15</xdr:col>
      <xdr:colOff>50800</xdr:colOff>
      <xdr:row>26</xdr:row>
      <xdr:rowOff>19050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EA301942-2C9F-D5EC-AA9F-6B8467C122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451850" y="3251201"/>
              <a:ext cx="1797050" cy="18986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101600</xdr:colOff>
      <xdr:row>9</xdr:row>
      <xdr:rowOff>50800</xdr:rowOff>
    </xdr:from>
    <xdr:to>
      <xdr:col>15</xdr:col>
      <xdr:colOff>25400</xdr:colOff>
      <xdr:row>15</xdr:row>
      <xdr:rowOff>107950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0C06A2B4-FDA6-63B0-002E-8063E5D4EF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45500" y="2051050"/>
              <a:ext cx="1778000" cy="1162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641350</xdr:colOff>
      <xdr:row>6</xdr:row>
      <xdr:rowOff>76200</xdr:rowOff>
    </xdr:from>
    <xdr:to>
      <xdr:col>11</xdr:col>
      <xdr:colOff>374650</xdr:colOff>
      <xdr:row>18</xdr:row>
      <xdr:rowOff>120650</xdr:rowOff>
    </xdr:to>
    <xdr:graphicFrame macro="">
      <xdr:nvGraphicFramePr>
        <xdr:cNvPr id="10" name="Chart 9">
          <a:extLst>
            <a:ext uri="{FF2B5EF4-FFF2-40B4-BE49-F238E27FC236}">
              <a16:creationId xmlns:a16="http://schemas.microsoft.com/office/drawing/2014/main" id="{6C33021D-EDC3-4097-8AB9-33A165800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IA" refreshedDate="46186.645052546293" createdVersion="8" refreshedVersion="8" minRefreshableVersion="3" recordCount="200" xr:uid="{9C27BB4B-3328-4845-8DF4-106357959A20}">
  <cacheSource type="worksheet">
    <worksheetSource name="Sales_tbl"/>
  </cacheSource>
  <cacheFields count="16">
    <cacheField name="Order_id" numFmtId="0">
      <sharedItems/>
    </cacheField>
    <cacheField name="Order_Date" numFmtId="164">
      <sharedItems/>
    </cacheField>
    <cacheField name="Region" numFmtId="0">
      <sharedItems count="4">
        <s v="South"/>
        <s v="North"/>
        <s v="East"/>
        <s v="West"/>
      </sharedItems>
    </cacheField>
    <cacheField name="Salesperson" numFmtId="0">
      <sharedItems count="6">
        <s v="Frank"/>
        <s v="Ben"/>
        <s v="Alice"/>
        <s v="Clara"/>
        <s v="Emma"/>
        <s v="David"/>
      </sharedItems>
    </cacheField>
    <cacheField name="Product" numFmtId="0">
      <sharedItems count="6">
        <s v="Phone"/>
        <s v="Chair"/>
        <s v="Desk"/>
        <s v="Headphones"/>
        <s v="Monitor"/>
        <s v="Laptop"/>
      </sharedItems>
    </cacheField>
    <cacheField name="Category" numFmtId="0">
      <sharedItems count="3">
        <s v="Electronics"/>
        <s v="Furniture"/>
        <s v="Accessories"/>
      </sharedItems>
    </cacheField>
    <cacheField name="Units_Sold" numFmtId="1">
      <sharedItems containsSemiMixedTypes="0" containsString="0" containsNumber="1" containsInteger="1" minValue="1" maxValue="20"/>
    </cacheField>
    <cacheField name="Unit_Price" numFmtId="1">
      <sharedItems containsSemiMixedTypes="0" containsString="0" containsNumber="1" containsInteger="1" minValue="90" maxValue="850"/>
    </cacheField>
    <cacheField name="Revenue" numFmtId="165">
      <sharedItems containsSemiMixedTypes="0" containsString="0" containsNumber="1" containsInteger="1" minValue="90" maxValue="17000"/>
    </cacheField>
    <cacheField name="Cost" numFmtId="165">
      <sharedItems containsSemiMixedTypes="0" containsString="0" containsNumber="1" containsInteger="1" minValue="50" maxValue="13000"/>
    </cacheField>
    <cacheField name="Profit" numFmtId="165">
      <sharedItems containsSemiMixedTypes="0" containsString="0" containsNumber="1" containsInteger="1" minValue="40" maxValue="4000"/>
    </cacheField>
    <cacheField name="Month" numFmtId="1">
      <sharedItems count="12">
        <s v="Dec"/>
        <s v="Jan"/>
        <s v="May"/>
        <s v="Sep"/>
        <s v="Oct"/>
        <s v="Apr"/>
        <s v="Feb"/>
        <s v="Nov"/>
        <s v="Jun"/>
        <s v="Aug"/>
        <s v="Jul"/>
        <s v="Mar"/>
      </sharedItems>
    </cacheField>
    <cacheField name="Month_num" numFmtId="1">
      <sharedItems containsSemiMixedTypes="0" containsString="0" containsNumber="1" containsInteger="1" minValue="1" maxValue="12"/>
    </cacheField>
    <cacheField name="Year" numFmtId="1">
      <sharedItems containsSemiMixedTypes="0" containsString="0" containsNumber="1" containsInteger="1" minValue="2025" maxValue="2025"/>
    </cacheField>
    <cacheField name="Profit_Margin" numFmtId="9">
      <sharedItems containsSemiMixedTypes="0" containsString="0" containsNumber="1" minValue="0.23529411764705882" maxValue="0.44444444444444442"/>
    </cacheField>
    <cacheField name="High_Profit" numFmtId="1">
      <sharedItems/>
    </cacheField>
  </cacheFields>
  <extLst>
    <ext xmlns:x14="http://schemas.microsoft.com/office/spreadsheetml/2009/9/main" uri="{725AE2AE-9491-48be-B2B4-4EB974FC3084}">
      <x14:pivotCacheDefinition pivotCacheId="1528991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s v="2025-12-05"/>
    <x v="0"/>
    <x v="0"/>
    <x v="0"/>
    <x v="0"/>
    <n v="4"/>
    <n v="600"/>
    <n v="2400"/>
    <n v="1720"/>
    <n v="680"/>
    <x v="0"/>
    <n v="12"/>
    <n v="2025"/>
    <n v="0.28333333333333333"/>
    <s v="No"/>
  </r>
  <r>
    <s v="ORD0002"/>
    <s v="2025-01-06"/>
    <x v="1"/>
    <x v="0"/>
    <x v="1"/>
    <x v="1"/>
    <n v="2"/>
    <n v="140"/>
    <n v="280"/>
    <n v="180"/>
    <n v="100"/>
    <x v="1"/>
    <n v="1"/>
    <n v="2025"/>
    <n v="0.35714285714285715"/>
    <s v="No"/>
  </r>
  <r>
    <s v="ORD0003"/>
    <s v="2025-05-21"/>
    <x v="2"/>
    <x v="0"/>
    <x v="1"/>
    <x v="1"/>
    <n v="8"/>
    <n v="140"/>
    <n v="1120"/>
    <n v="720"/>
    <n v="400"/>
    <x v="2"/>
    <n v="5"/>
    <n v="2025"/>
    <n v="0.35714285714285715"/>
    <s v="No"/>
  </r>
  <r>
    <s v="ORD0004"/>
    <s v="2025-01-02"/>
    <x v="0"/>
    <x v="1"/>
    <x v="0"/>
    <x v="0"/>
    <n v="13"/>
    <n v="600"/>
    <n v="7800"/>
    <n v="5590"/>
    <n v="2210"/>
    <x v="1"/>
    <n v="1"/>
    <n v="2025"/>
    <n v="0.28333333333333333"/>
    <s v="Yes"/>
  </r>
  <r>
    <s v="ORD0005"/>
    <s v="2025-05-21"/>
    <x v="2"/>
    <x v="1"/>
    <x v="2"/>
    <x v="1"/>
    <n v="10"/>
    <n v="220"/>
    <n v="2200"/>
    <n v="1500"/>
    <n v="700"/>
    <x v="2"/>
    <n v="5"/>
    <n v="2025"/>
    <n v="0.31818181818181818"/>
    <s v="No"/>
  </r>
  <r>
    <s v="ORD0006"/>
    <s v="2025-01-04"/>
    <x v="3"/>
    <x v="2"/>
    <x v="2"/>
    <x v="1"/>
    <n v="11"/>
    <n v="220"/>
    <n v="2420"/>
    <n v="1650"/>
    <n v="770"/>
    <x v="1"/>
    <n v="1"/>
    <n v="2025"/>
    <n v="0.31818181818181818"/>
    <s v="No"/>
  </r>
  <r>
    <s v="ORD0007"/>
    <s v="2025-05-20"/>
    <x v="0"/>
    <x v="0"/>
    <x v="3"/>
    <x v="2"/>
    <n v="12"/>
    <n v="90"/>
    <n v="1080"/>
    <n v="600"/>
    <n v="480"/>
    <x v="2"/>
    <n v="5"/>
    <n v="2025"/>
    <n v="0.44444444444444442"/>
    <s v="No"/>
  </r>
  <r>
    <s v="ORD0008"/>
    <s v="2025-01-09"/>
    <x v="3"/>
    <x v="3"/>
    <x v="3"/>
    <x v="2"/>
    <n v="11"/>
    <n v="90"/>
    <n v="990"/>
    <n v="550"/>
    <n v="440"/>
    <x v="1"/>
    <n v="1"/>
    <n v="2025"/>
    <n v="0.44444444444444442"/>
    <s v="No"/>
  </r>
  <r>
    <s v="ORD0009"/>
    <s v="2025-09-06"/>
    <x v="3"/>
    <x v="0"/>
    <x v="0"/>
    <x v="0"/>
    <n v="14"/>
    <n v="600"/>
    <n v="8400"/>
    <n v="6020"/>
    <n v="2380"/>
    <x v="3"/>
    <n v="9"/>
    <n v="2025"/>
    <n v="0.28333333333333333"/>
    <s v="Yes"/>
  </r>
  <r>
    <s v="ORD0010"/>
    <s v="2025-10-25"/>
    <x v="2"/>
    <x v="0"/>
    <x v="0"/>
    <x v="0"/>
    <n v="10"/>
    <n v="600"/>
    <n v="6000"/>
    <n v="4300"/>
    <n v="1700"/>
    <x v="4"/>
    <n v="10"/>
    <n v="2025"/>
    <n v="0.28333333333333333"/>
    <s v="No"/>
  </r>
  <r>
    <s v="ORD0011"/>
    <s v="2025-04-14"/>
    <x v="0"/>
    <x v="1"/>
    <x v="0"/>
    <x v="0"/>
    <n v="5"/>
    <n v="600"/>
    <n v="3000"/>
    <n v="2150"/>
    <n v="850"/>
    <x v="5"/>
    <n v="4"/>
    <n v="2025"/>
    <n v="0.28333333333333333"/>
    <s v="No"/>
  </r>
  <r>
    <s v="ORD0012"/>
    <s v="2025-12-13"/>
    <x v="2"/>
    <x v="2"/>
    <x v="3"/>
    <x v="2"/>
    <n v="17"/>
    <n v="90"/>
    <n v="1530"/>
    <n v="850"/>
    <n v="680"/>
    <x v="0"/>
    <n v="12"/>
    <n v="2025"/>
    <n v="0.44444444444444442"/>
    <s v="No"/>
  </r>
  <r>
    <s v="ORD0013"/>
    <s v="2025-12-10"/>
    <x v="2"/>
    <x v="2"/>
    <x v="0"/>
    <x v="0"/>
    <n v="1"/>
    <n v="600"/>
    <n v="600"/>
    <n v="430"/>
    <n v="170"/>
    <x v="0"/>
    <n v="12"/>
    <n v="2025"/>
    <n v="0.28333333333333333"/>
    <s v="No"/>
  </r>
  <r>
    <s v="ORD0014"/>
    <s v="2025-12-08"/>
    <x v="2"/>
    <x v="0"/>
    <x v="1"/>
    <x v="1"/>
    <n v="1"/>
    <n v="140"/>
    <n v="140"/>
    <n v="90"/>
    <n v="50"/>
    <x v="0"/>
    <n v="12"/>
    <n v="2025"/>
    <n v="0.35714285714285715"/>
    <s v="No"/>
  </r>
  <r>
    <s v="ORD0015"/>
    <s v="2025-12-14"/>
    <x v="0"/>
    <x v="4"/>
    <x v="3"/>
    <x v="2"/>
    <n v="11"/>
    <n v="90"/>
    <n v="990"/>
    <n v="550"/>
    <n v="440"/>
    <x v="0"/>
    <n v="12"/>
    <n v="2025"/>
    <n v="0.44444444444444442"/>
    <s v="No"/>
  </r>
  <r>
    <s v="ORD0016"/>
    <s v="2025-05-11"/>
    <x v="1"/>
    <x v="2"/>
    <x v="4"/>
    <x v="0"/>
    <n v="18"/>
    <n v="300"/>
    <n v="5400"/>
    <n v="3960"/>
    <n v="1440"/>
    <x v="2"/>
    <n v="5"/>
    <n v="2025"/>
    <n v="0.26666666666666666"/>
    <s v="No"/>
  </r>
  <r>
    <s v="ORD0017"/>
    <s v="2025-02-08"/>
    <x v="3"/>
    <x v="5"/>
    <x v="4"/>
    <x v="0"/>
    <n v="4"/>
    <n v="300"/>
    <n v="1200"/>
    <n v="880"/>
    <n v="320"/>
    <x v="6"/>
    <n v="2"/>
    <n v="2025"/>
    <n v="0.26666666666666666"/>
    <s v="No"/>
  </r>
  <r>
    <s v="ORD0018"/>
    <s v="2025-11-19"/>
    <x v="3"/>
    <x v="3"/>
    <x v="5"/>
    <x v="0"/>
    <n v="2"/>
    <n v="850"/>
    <n v="1700"/>
    <n v="1300"/>
    <n v="400"/>
    <x v="7"/>
    <n v="11"/>
    <n v="2025"/>
    <n v="0.23529411764705882"/>
    <s v="No"/>
  </r>
  <r>
    <s v="ORD0019"/>
    <s v="2025-01-15"/>
    <x v="3"/>
    <x v="5"/>
    <x v="5"/>
    <x v="0"/>
    <n v="1"/>
    <n v="850"/>
    <n v="850"/>
    <n v="650"/>
    <n v="200"/>
    <x v="1"/>
    <n v="1"/>
    <n v="2025"/>
    <n v="0.23529411764705882"/>
    <s v="No"/>
  </r>
  <r>
    <s v="ORD0020"/>
    <s v="2025-06-10"/>
    <x v="2"/>
    <x v="4"/>
    <x v="0"/>
    <x v="0"/>
    <n v="19"/>
    <n v="600"/>
    <n v="11400"/>
    <n v="8170"/>
    <n v="3230"/>
    <x v="8"/>
    <n v="6"/>
    <n v="2025"/>
    <n v="0.28333333333333333"/>
    <s v="Yes"/>
  </r>
  <r>
    <s v="ORD0021"/>
    <s v="2025-10-27"/>
    <x v="2"/>
    <x v="2"/>
    <x v="0"/>
    <x v="0"/>
    <n v="8"/>
    <n v="600"/>
    <n v="4800"/>
    <n v="3440"/>
    <n v="1360"/>
    <x v="4"/>
    <n v="10"/>
    <n v="2025"/>
    <n v="0.28333333333333333"/>
    <s v="No"/>
  </r>
  <r>
    <s v="ORD0022"/>
    <s v="2025-04-10"/>
    <x v="3"/>
    <x v="0"/>
    <x v="2"/>
    <x v="1"/>
    <n v="9"/>
    <n v="220"/>
    <n v="1980"/>
    <n v="1350"/>
    <n v="630"/>
    <x v="5"/>
    <n v="4"/>
    <n v="2025"/>
    <n v="0.31818181818181818"/>
    <s v="No"/>
  </r>
  <r>
    <s v="ORD0023"/>
    <s v="2025-10-08"/>
    <x v="3"/>
    <x v="2"/>
    <x v="5"/>
    <x v="0"/>
    <n v="17"/>
    <n v="850"/>
    <n v="14450"/>
    <n v="11050"/>
    <n v="3400"/>
    <x v="4"/>
    <n v="10"/>
    <n v="2025"/>
    <n v="0.23529411764705882"/>
    <s v="Yes"/>
  </r>
  <r>
    <s v="ORD0024"/>
    <s v="2025-02-05"/>
    <x v="2"/>
    <x v="0"/>
    <x v="1"/>
    <x v="1"/>
    <n v="14"/>
    <n v="140"/>
    <n v="1960"/>
    <n v="1260"/>
    <n v="700"/>
    <x v="6"/>
    <n v="2"/>
    <n v="2025"/>
    <n v="0.35714285714285715"/>
    <s v="No"/>
  </r>
  <r>
    <s v="ORD0025"/>
    <s v="2025-01-22"/>
    <x v="2"/>
    <x v="5"/>
    <x v="3"/>
    <x v="2"/>
    <n v="7"/>
    <n v="90"/>
    <n v="630"/>
    <n v="350"/>
    <n v="280"/>
    <x v="1"/>
    <n v="1"/>
    <n v="2025"/>
    <n v="0.44444444444444442"/>
    <s v="No"/>
  </r>
  <r>
    <s v="ORD0026"/>
    <s v="2025-02-21"/>
    <x v="3"/>
    <x v="5"/>
    <x v="3"/>
    <x v="2"/>
    <n v="12"/>
    <n v="90"/>
    <n v="1080"/>
    <n v="600"/>
    <n v="480"/>
    <x v="6"/>
    <n v="2"/>
    <n v="2025"/>
    <n v="0.44444444444444442"/>
    <s v="No"/>
  </r>
  <r>
    <s v="ORD0027"/>
    <s v="2025-09-10"/>
    <x v="1"/>
    <x v="3"/>
    <x v="2"/>
    <x v="1"/>
    <n v="9"/>
    <n v="220"/>
    <n v="1980"/>
    <n v="1350"/>
    <n v="630"/>
    <x v="3"/>
    <n v="9"/>
    <n v="2025"/>
    <n v="0.31818181818181818"/>
    <s v="No"/>
  </r>
  <r>
    <s v="ORD0028"/>
    <s v="2025-10-27"/>
    <x v="2"/>
    <x v="2"/>
    <x v="5"/>
    <x v="0"/>
    <n v="4"/>
    <n v="850"/>
    <n v="3400"/>
    <n v="2600"/>
    <n v="800"/>
    <x v="4"/>
    <n v="10"/>
    <n v="2025"/>
    <n v="0.23529411764705882"/>
    <s v="No"/>
  </r>
  <r>
    <s v="ORD0029"/>
    <s v="2025-05-24"/>
    <x v="1"/>
    <x v="3"/>
    <x v="1"/>
    <x v="1"/>
    <n v="15"/>
    <n v="140"/>
    <n v="2100"/>
    <n v="1350"/>
    <n v="750"/>
    <x v="2"/>
    <n v="5"/>
    <n v="2025"/>
    <n v="0.35714285714285715"/>
    <s v="No"/>
  </r>
  <r>
    <s v="ORD0030"/>
    <s v="2025-05-11"/>
    <x v="1"/>
    <x v="3"/>
    <x v="2"/>
    <x v="1"/>
    <n v="19"/>
    <n v="220"/>
    <n v="4180"/>
    <n v="2850"/>
    <n v="1330"/>
    <x v="2"/>
    <n v="5"/>
    <n v="2025"/>
    <n v="0.31818181818181818"/>
    <s v="No"/>
  </r>
  <r>
    <s v="ORD0031"/>
    <s v="2025-12-26"/>
    <x v="2"/>
    <x v="2"/>
    <x v="4"/>
    <x v="0"/>
    <n v="14"/>
    <n v="300"/>
    <n v="4200"/>
    <n v="3080"/>
    <n v="1120"/>
    <x v="0"/>
    <n v="12"/>
    <n v="2025"/>
    <n v="0.26666666666666666"/>
    <s v="No"/>
  </r>
  <r>
    <s v="ORD0032"/>
    <s v="2025-06-29"/>
    <x v="1"/>
    <x v="5"/>
    <x v="4"/>
    <x v="0"/>
    <n v="11"/>
    <n v="300"/>
    <n v="3300"/>
    <n v="2420"/>
    <n v="880"/>
    <x v="8"/>
    <n v="6"/>
    <n v="2025"/>
    <n v="0.26666666666666666"/>
    <s v="No"/>
  </r>
  <r>
    <s v="ORD0033"/>
    <s v="2025-09-29"/>
    <x v="0"/>
    <x v="2"/>
    <x v="5"/>
    <x v="0"/>
    <n v="16"/>
    <n v="850"/>
    <n v="13600"/>
    <n v="10400"/>
    <n v="3200"/>
    <x v="3"/>
    <n v="9"/>
    <n v="2025"/>
    <n v="0.23529411764705882"/>
    <s v="Yes"/>
  </r>
  <r>
    <s v="ORD0034"/>
    <s v="2025-10-11"/>
    <x v="2"/>
    <x v="5"/>
    <x v="3"/>
    <x v="2"/>
    <n v="20"/>
    <n v="90"/>
    <n v="1800"/>
    <n v="1000"/>
    <n v="800"/>
    <x v="4"/>
    <n v="10"/>
    <n v="2025"/>
    <n v="0.44444444444444442"/>
    <s v="No"/>
  </r>
  <r>
    <s v="ORD0035"/>
    <s v="2025-01-22"/>
    <x v="2"/>
    <x v="5"/>
    <x v="3"/>
    <x v="2"/>
    <n v="1"/>
    <n v="90"/>
    <n v="90"/>
    <n v="50"/>
    <n v="40"/>
    <x v="1"/>
    <n v="1"/>
    <n v="2025"/>
    <n v="0.44444444444444442"/>
    <s v="No"/>
  </r>
  <r>
    <s v="ORD0036"/>
    <s v="2025-05-03"/>
    <x v="3"/>
    <x v="1"/>
    <x v="0"/>
    <x v="0"/>
    <n v="1"/>
    <n v="600"/>
    <n v="600"/>
    <n v="430"/>
    <n v="170"/>
    <x v="2"/>
    <n v="5"/>
    <n v="2025"/>
    <n v="0.28333333333333333"/>
    <s v="No"/>
  </r>
  <r>
    <s v="ORD0037"/>
    <s v="2025-08-17"/>
    <x v="2"/>
    <x v="3"/>
    <x v="5"/>
    <x v="0"/>
    <n v="11"/>
    <n v="850"/>
    <n v="9350"/>
    <n v="7150"/>
    <n v="2200"/>
    <x v="9"/>
    <n v="8"/>
    <n v="2025"/>
    <n v="0.23529411764705882"/>
    <s v="Yes"/>
  </r>
  <r>
    <s v="ORD0038"/>
    <s v="2025-11-02"/>
    <x v="3"/>
    <x v="2"/>
    <x v="3"/>
    <x v="2"/>
    <n v="15"/>
    <n v="90"/>
    <n v="1350"/>
    <n v="750"/>
    <n v="600"/>
    <x v="7"/>
    <n v="11"/>
    <n v="2025"/>
    <n v="0.44444444444444442"/>
    <s v="No"/>
  </r>
  <r>
    <s v="ORD0039"/>
    <s v="2025-06-28"/>
    <x v="3"/>
    <x v="3"/>
    <x v="5"/>
    <x v="0"/>
    <n v="10"/>
    <n v="850"/>
    <n v="8500"/>
    <n v="6500"/>
    <n v="2000"/>
    <x v="8"/>
    <n v="6"/>
    <n v="2025"/>
    <n v="0.23529411764705882"/>
    <s v="No"/>
  </r>
  <r>
    <s v="ORD0040"/>
    <s v="2025-12-28"/>
    <x v="3"/>
    <x v="2"/>
    <x v="0"/>
    <x v="0"/>
    <n v="17"/>
    <n v="600"/>
    <n v="10200"/>
    <n v="7310"/>
    <n v="2890"/>
    <x v="0"/>
    <n v="12"/>
    <n v="2025"/>
    <n v="0.28333333333333333"/>
    <s v="Yes"/>
  </r>
  <r>
    <s v="ORD0041"/>
    <s v="2025-04-13"/>
    <x v="0"/>
    <x v="5"/>
    <x v="1"/>
    <x v="1"/>
    <n v="6"/>
    <n v="140"/>
    <n v="840"/>
    <n v="540"/>
    <n v="300"/>
    <x v="5"/>
    <n v="4"/>
    <n v="2025"/>
    <n v="0.35714285714285715"/>
    <s v="No"/>
  </r>
  <r>
    <s v="ORD0042"/>
    <s v="2025-07-18"/>
    <x v="3"/>
    <x v="1"/>
    <x v="4"/>
    <x v="0"/>
    <n v="20"/>
    <n v="300"/>
    <n v="6000"/>
    <n v="4400"/>
    <n v="1600"/>
    <x v="10"/>
    <n v="7"/>
    <n v="2025"/>
    <n v="0.26666666666666666"/>
    <s v="No"/>
  </r>
  <r>
    <s v="ORD0043"/>
    <s v="2025-11-03"/>
    <x v="2"/>
    <x v="2"/>
    <x v="4"/>
    <x v="0"/>
    <n v="5"/>
    <n v="300"/>
    <n v="1500"/>
    <n v="1100"/>
    <n v="400"/>
    <x v="7"/>
    <n v="11"/>
    <n v="2025"/>
    <n v="0.26666666666666666"/>
    <s v="No"/>
  </r>
  <r>
    <s v="ORD0044"/>
    <s v="2025-04-06"/>
    <x v="1"/>
    <x v="3"/>
    <x v="3"/>
    <x v="2"/>
    <n v="14"/>
    <n v="90"/>
    <n v="1260"/>
    <n v="700"/>
    <n v="560"/>
    <x v="5"/>
    <n v="4"/>
    <n v="2025"/>
    <n v="0.44444444444444442"/>
    <s v="No"/>
  </r>
  <r>
    <s v="ORD0045"/>
    <s v="2025-10-15"/>
    <x v="1"/>
    <x v="3"/>
    <x v="1"/>
    <x v="1"/>
    <n v="12"/>
    <n v="140"/>
    <n v="1680"/>
    <n v="1080"/>
    <n v="600"/>
    <x v="4"/>
    <n v="10"/>
    <n v="2025"/>
    <n v="0.35714285714285715"/>
    <s v="No"/>
  </r>
  <r>
    <s v="ORD0046"/>
    <s v="2025-07-15"/>
    <x v="0"/>
    <x v="2"/>
    <x v="5"/>
    <x v="0"/>
    <n v="13"/>
    <n v="850"/>
    <n v="11050"/>
    <n v="8450"/>
    <n v="2600"/>
    <x v="10"/>
    <n v="7"/>
    <n v="2025"/>
    <n v="0.23529411764705882"/>
    <s v="Yes"/>
  </r>
  <r>
    <s v="ORD0047"/>
    <s v="2025-07-02"/>
    <x v="0"/>
    <x v="0"/>
    <x v="0"/>
    <x v="0"/>
    <n v="10"/>
    <n v="600"/>
    <n v="6000"/>
    <n v="4300"/>
    <n v="1700"/>
    <x v="10"/>
    <n v="7"/>
    <n v="2025"/>
    <n v="0.28333333333333333"/>
    <s v="No"/>
  </r>
  <r>
    <s v="ORD0048"/>
    <s v="2025-01-28"/>
    <x v="3"/>
    <x v="4"/>
    <x v="2"/>
    <x v="1"/>
    <n v="7"/>
    <n v="220"/>
    <n v="1540"/>
    <n v="1050"/>
    <n v="490"/>
    <x v="1"/>
    <n v="1"/>
    <n v="2025"/>
    <n v="0.31818181818181818"/>
    <s v="No"/>
  </r>
  <r>
    <s v="ORD0049"/>
    <s v="2025-09-06"/>
    <x v="1"/>
    <x v="1"/>
    <x v="3"/>
    <x v="2"/>
    <n v="13"/>
    <n v="90"/>
    <n v="1170"/>
    <n v="650"/>
    <n v="520"/>
    <x v="3"/>
    <n v="9"/>
    <n v="2025"/>
    <n v="0.44444444444444442"/>
    <s v="No"/>
  </r>
  <r>
    <s v="ORD0050"/>
    <s v="2025-04-24"/>
    <x v="3"/>
    <x v="1"/>
    <x v="0"/>
    <x v="0"/>
    <n v="6"/>
    <n v="600"/>
    <n v="3600"/>
    <n v="2580"/>
    <n v="1020"/>
    <x v="5"/>
    <n v="4"/>
    <n v="2025"/>
    <n v="0.28333333333333333"/>
    <s v="No"/>
  </r>
  <r>
    <s v="ORD0051"/>
    <s v="2025-07-03"/>
    <x v="3"/>
    <x v="5"/>
    <x v="5"/>
    <x v="0"/>
    <n v="10"/>
    <n v="850"/>
    <n v="8500"/>
    <n v="6500"/>
    <n v="2000"/>
    <x v="10"/>
    <n v="7"/>
    <n v="2025"/>
    <n v="0.23529411764705882"/>
    <s v="No"/>
  </r>
  <r>
    <s v="ORD0052"/>
    <s v="2025-03-24"/>
    <x v="0"/>
    <x v="2"/>
    <x v="1"/>
    <x v="1"/>
    <n v="10"/>
    <n v="140"/>
    <n v="1400"/>
    <n v="900"/>
    <n v="500"/>
    <x v="11"/>
    <n v="3"/>
    <n v="2025"/>
    <n v="0.35714285714285715"/>
    <s v="No"/>
  </r>
  <r>
    <s v="ORD0053"/>
    <s v="2025-08-20"/>
    <x v="2"/>
    <x v="3"/>
    <x v="5"/>
    <x v="0"/>
    <n v="12"/>
    <n v="850"/>
    <n v="10200"/>
    <n v="7800"/>
    <n v="2400"/>
    <x v="9"/>
    <n v="8"/>
    <n v="2025"/>
    <n v="0.23529411764705882"/>
    <s v="Yes"/>
  </r>
  <r>
    <s v="ORD0054"/>
    <s v="2025-03-28"/>
    <x v="0"/>
    <x v="4"/>
    <x v="4"/>
    <x v="0"/>
    <n v="15"/>
    <n v="300"/>
    <n v="4500"/>
    <n v="3300"/>
    <n v="1200"/>
    <x v="11"/>
    <n v="3"/>
    <n v="2025"/>
    <n v="0.26666666666666666"/>
    <s v="No"/>
  </r>
  <r>
    <s v="ORD0055"/>
    <s v="2025-12-03"/>
    <x v="0"/>
    <x v="1"/>
    <x v="0"/>
    <x v="0"/>
    <n v="12"/>
    <n v="600"/>
    <n v="7200"/>
    <n v="5160"/>
    <n v="2040"/>
    <x v="0"/>
    <n v="12"/>
    <n v="2025"/>
    <n v="0.28333333333333333"/>
    <s v="Yes"/>
  </r>
  <r>
    <s v="ORD0056"/>
    <s v="2025-11-08"/>
    <x v="1"/>
    <x v="1"/>
    <x v="2"/>
    <x v="1"/>
    <n v="9"/>
    <n v="220"/>
    <n v="1980"/>
    <n v="1350"/>
    <n v="630"/>
    <x v="7"/>
    <n v="11"/>
    <n v="2025"/>
    <n v="0.31818181818181818"/>
    <s v="No"/>
  </r>
  <r>
    <s v="ORD0057"/>
    <s v="2025-03-13"/>
    <x v="3"/>
    <x v="1"/>
    <x v="3"/>
    <x v="2"/>
    <n v="19"/>
    <n v="90"/>
    <n v="1710"/>
    <n v="950"/>
    <n v="760"/>
    <x v="11"/>
    <n v="3"/>
    <n v="2025"/>
    <n v="0.44444444444444442"/>
    <s v="No"/>
  </r>
  <r>
    <s v="ORD0058"/>
    <s v="2025-04-04"/>
    <x v="1"/>
    <x v="5"/>
    <x v="5"/>
    <x v="0"/>
    <n v="15"/>
    <n v="850"/>
    <n v="12750"/>
    <n v="9750"/>
    <n v="3000"/>
    <x v="5"/>
    <n v="4"/>
    <n v="2025"/>
    <n v="0.23529411764705882"/>
    <s v="Yes"/>
  </r>
  <r>
    <s v="ORD0059"/>
    <s v="2025-10-31"/>
    <x v="1"/>
    <x v="5"/>
    <x v="5"/>
    <x v="0"/>
    <n v="3"/>
    <n v="850"/>
    <n v="2550"/>
    <n v="1950"/>
    <n v="600"/>
    <x v="4"/>
    <n v="10"/>
    <n v="2025"/>
    <n v="0.23529411764705882"/>
    <s v="No"/>
  </r>
  <r>
    <s v="ORD0060"/>
    <s v="2025-05-20"/>
    <x v="1"/>
    <x v="1"/>
    <x v="1"/>
    <x v="1"/>
    <n v="12"/>
    <n v="140"/>
    <n v="1680"/>
    <n v="1080"/>
    <n v="600"/>
    <x v="2"/>
    <n v="5"/>
    <n v="2025"/>
    <n v="0.35714285714285715"/>
    <s v="No"/>
  </r>
  <r>
    <s v="ORD0061"/>
    <s v="2025-01-24"/>
    <x v="3"/>
    <x v="1"/>
    <x v="3"/>
    <x v="2"/>
    <n v="6"/>
    <n v="90"/>
    <n v="540"/>
    <n v="300"/>
    <n v="240"/>
    <x v="1"/>
    <n v="1"/>
    <n v="2025"/>
    <n v="0.44444444444444442"/>
    <s v="No"/>
  </r>
  <r>
    <s v="ORD0062"/>
    <s v="2025-11-15"/>
    <x v="2"/>
    <x v="2"/>
    <x v="3"/>
    <x v="2"/>
    <n v="9"/>
    <n v="90"/>
    <n v="810"/>
    <n v="450"/>
    <n v="360"/>
    <x v="7"/>
    <n v="11"/>
    <n v="2025"/>
    <n v="0.44444444444444442"/>
    <s v="No"/>
  </r>
  <r>
    <s v="ORD0063"/>
    <s v="2025-10-20"/>
    <x v="0"/>
    <x v="1"/>
    <x v="2"/>
    <x v="1"/>
    <n v="15"/>
    <n v="220"/>
    <n v="3300"/>
    <n v="2250"/>
    <n v="1050"/>
    <x v="4"/>
    <n v="10"/>
    <n v="2025"/>
    <n v="0.31818181818181818"/>
    <s v="No"/>
  </r>
  <r>
    <s v="ORD0064"/>
    <s v="2025-05-19"/>
    <x v="2"/>
    <x v="5"/>
    <x v="0"/>
    <x v="0"/>
    <n v="1"/>
    <n v="600"/>
    <n v="600"/>
    <n v="430"/>
    <n v="170"/>
    <x v="2"/>
    <n v="5"/>
    <n v="2025"/>
    <n v="0.28333333333333333"/>
    <s v="No"/>
  </r>
  <r>
    <s v="ORD0065"/>
    <s v="2025-04-13"/>
    <x v="0"/>
    <x v="3"/>
    <x v="5"/>
    <x v="0"/>
    <n v="1"/>
    <n v="850"/>
    <n v="850"/>
    <n v="650"/>
    <n v="200"/>
    <x v="5"/>
    <n v="4"/>
    <n v="2025"/>
    <n v="0.23529411764705882"/>
    <s v="No"/>
  </r>
  <r>
    <s v="ORD0066"/>
    <s v="2025-04-10"/>
    <x v="1"/>
    <x v="2"/>
    <x v="1"/>
    <x v="1"/>
    <n v="7"/>
    <n v="140"/>
    <n v="980"/>
    <n v="630"/>
    <n v="350"/>
    <x v="5"/>
    <n v="4"/>
    <n v="2025"/>
    <n v="0.35714285714285715"/>
    <s v="No"/>
  </r>
  <r>
    <s v="ORD0067"/>
    <s v="2025-10-10"/>
    <x v="1"/>
    <x v="2"/>
    <x v="2"/>
    <x v="1"/>
    <n v="12"/>
    <n v="220"/>
    <n v="2640"/>
    <n v="1800"/>
    <n v="840"/>
    <x v="4"/>
    <n v="10"/>
    <n v="2025"/>
    <n v="0.31818181818181818"/>
    <s v="No"/>
  </r>
  <r>
    <s v="ORD0068"/>
    <s v="2025-04-02"/>
    <x v="1"/>
    <x v="3"/>
    <x v="1"/>
    <x v="1"/>
    <n v="17"/>
    <n v="140"/>
    <n v="2380"/>
    <n v="1530"/>
    <n v="850"/>
    <x v="5"/>
    <n v="4"/>
    <n v="2025"/>
    <n v="0.35714285714285715"/>
    <s v="No"/>
  </r>
  <r>
    <s v="ORD0069"/>
    <s v="2025-06-09"/>
    <x v="2"/>
    <x v="1"/>
    <x v="3"/>
    <x v="2"/>
    <n v="11"/>
    <n v="90"/>
    <n v="990"/>
    <n v="550"/>
    <n v="440"/>
    <x v="8"/>
    <n v="6"/>
    <n v="2025"/>
    <n v="0.44444444444444442"/>
    <s v="No"/>
  </r>
  <r>
    <s v="ORD0070"/>
    <s v="2025-05-24"/>
    <x v="3"/>
    <x v="2"/>
    <x v="2"/>
    <x v="1"/>
    <n v="7"/>
    <n v="220"/>
    <n v="1540"/>
    <n v="1050"/>
    <n v="490"/>
    <x v="2"/>
    <n v="5"/>
    <n v="2025"/>
    <n v="0.31818181818181818"/>
    <s v="No"/>
  </r>
  <r>
    <s v="ORD0071"/>
    <s v="2025-08-26"/>
    <x v="1"/>
    <x v="5"/>
    <x v="2"/>
    <x v="1"/>
    <n v="20"/>
    <n v="220"/>
    <n v="4400"/>
    <n v="3000"/>
    <n v="1400"/>
    <x v="9"/>
    <n v="8"/>
    <n v="2025"/>
    <n v="0.31818181818181818"/>
    <s v="No"/>
  </r>
  <r>
    <s v="ORD0072"/>
    <s v="2025-01-28"/>
    <x v="0"/>
    <x v="3"/>
    <x v="2"/>
    <x v="1"/>
    <n v="4"/>
    <n v="220"/>
    <n v="880"/>
    <n v="600"/>
    <n v="280"/>
    <x v="1"/>
    <n v="1"/>
    <n v="2025"/>
    <n v="0.31818181818181818"/>
    <s v="No"/>
  </r>
  <r>
    <s v="ORD0073"/>
    <s v="2025-01-31"/>
    <x v="0"/>
    <x v="0"/>
    <x v="4"/>
    <x v="0"/>
    <n v="18"/>
    <n v="300"/>
    <n v="5400"/>
    <n v="3960"/>
    <n v="1440"/>
    <x v="1"/>
    <n v="1"/>
    <n v="2025"/>
    <n v="0.26666666666666666"/>
    <s v="No"/>
  </r>
  <r>
    <s v="ORD0074"/>
    <s v="2025-01-15"/>
    <x v="1"/>
    <x v="4"/>
    <x v="1"/>
    <x v="1"/>
    <n v="11"/>
    <n v="140"/>
    <n v="1540"/>
    <n v="990"/>
    <n v="550"/>
    <x v="1"/>
    <n v="1"/>
    <n v="2025"/>
    <n v="0.35714285714285715"/>
    <s v="No"/>
  </r>
  <r>
    <s v="ORD0075"/>
    <s v="2025-06-23"/>
    <x v="1"/>
    <x v="3"/>
    <x v="3"/>
    <x v="2"/>
    <n v="12"/>
    <n v="90"/>
    <n v="1080"/>
    <n v="600"/>
    <n v="480"/>
    <x v="8"/>
    <n v="6"/>
    <n v="2025"/>
    <n v="0.44444444444444442"/>
    <s v="No"/>
  </r>
  <r>
    <s v="ORD0076"/>
    <s v="2025-06-09"/>
    <x v="1"/>
    <x v="5"/>
    <x v="0"/>
    <x v="0"/>
    <n v="16"/>
    <n v="600"/>
    <n v="9600"/>
    <n v="6880"/>
    <n v="2720"/>
    <x v="8"/>
    <n v="6"/>
    <n v="2025"/>
    <n v="0.28333333333333333"/>
    <s v="Yes"/>
  </r>
  <r>
    <s v="ORD0077"/>
    <s v="2025-02-23"/>
    <x v="2"/>
    <x v="5"/>
    <x v="5"/>
    <x v="0"/>
    <n v="17"/>
    <n v="850"/>
    <n v="14450"/>
    <n v="11050"/>
    <n v="3400"/>
    <x v="6"/>
    <n v="2"/>
    <n v="2025"/>
    <n v="0.23529411764705882"/>
    <s v="Yes"/>
  </r>
  <r>
    <s v="ORD0078"/>
    <s v="2025-04-25"/>
    <x v="3"/>
    <x v="2"/>
    <x v="0"/>
    <x v="0"/>
    <n v="12"/>
    <n v="600"/>
    <n v="7200"/>
    <n v="5160"/>
    <n v="2040"/>
    <x v="5"/>
    <n v="4"/>
    <n v="2025"/>
    <n v="0.28333333333333333"/>
    <s v="Yes"/>
  </r>
  <r>
    <s v="ORD0079"/>
    <s v="2025-07-04"/>
    <x v="0"/>
    <x v="2"/>
    <x v="3"/>
    <x v="2"/>
    <n v="17"/>
    <n v="90"/>
    <n v="1530"/>
    <n v="850"/>
    <n v="680"/>
    <x v="10"/>
    <n v="7"/>
    <n v="2025"/>
    <n v="0.44444444444444442"/>
    <s v="No"/>
  </r>
  <r>
    <s v="ORD0080"/>
    <s v="2025-02-22"/>
    <x v="3"/>
    <x v="2"/>
    <x v="2"/>
    <x v="1"/>
    <n v="17"/>
    <n v="220"/>
    <n v="3740"/>
    <n v="2550"/>
    <n v="1190"/>
    <x v="6"/>
    <n v="2"/>
    <n v="2025"/>
    <n v="0.31818181818181818"/>
    <s v="No"/>
  </r>
  <r>
    <s v="ORD0081"/>
    <s v="2025-09-09"/>
    <x v="3"/>
    <x v="3"/>
    <x v="1"/>
    <x v="1"/>
    <n v="10"/>
    <n v="140"/>
    <n v="1400"/>
    <n v="900"/>
    <n v="500"/>
    <x v="3"/>
    <n v="9"/>
    <n v="2025"/>
    <n v="0.35714285714285715"/>
    <s v="No"/>
  </r>
  <r>
    <s v="ORD0082"/>
    <s v="2025-12-14"/>
    <x v="1"/>
    <x v="2"/>
    <x v="5"/>
    <x v="0"/>
    <n v="15"/>
    <n v="850"/>
    <n v="12750"/>
    <n v="9750"/>
    <n v="3000"/>
    <x v="0"/>
    <n v="12"/>
    <n v="2025"/>
    <n v="0.23529411764705882"/>
    <s v="Yes"/>
  </r>
  <r>
    <s v="ORD0083"/>
    <s v="2025-04-10"/>
    <x v="3"/>
    <x v="3"/>
    <x v="3"/>
    <x v="2"/>
    <n v="11"/>
    <n v="90"/>
    <n v="990"/>
    <n v="550"/>
    <n v="440"/>
    <x v="5"/>
    <n v="4"/>
    <n v="2025"/>
    <n v="0.44444444444444442"/>
    <s v="No"/>
  </r>
  <r>
    <s v="ORD0084"/>
    <s v="2025-09-01"/>
    <x v="3"/>
    <x v="4"/>
    <x v="5"/>
    <x v="0"/>
    <n v="7"/>
    <n v="850"/>
    <n v="5950"/>
    <n v="4550"/>
    <n v="1400"/>
    <x v="3"/>
    <n v="9"/>
    <n v="2025"/>
    <n v="0.23529411764705882"/>
    <s v="No"/>
  </r>
  <r>
    <s v="ORD0085"/>
    <s v="2025-07-12"/>
    <x v="3"/>
    <x v="5"/>
    <x v="1"/>
    <x v="1"/>
    <n v="5"/>
    <n v="140"/>
    <n v="700"/>
    <n v="450"/>
    <n v="250"/>
    <x v="10"/>
    <n v="7"/>
    <n v="2025"/>
    <n v="0.35714285714285715"/>
    <s v="No"/>
  </r>
  <r>
    <s v="ORD0086"/>
    <s v="2025-04-30"/>
    <x v="3"/>
    <x v="4"/>
    <x v="3"/>
    <x v="2"/>
    <n v="4"/>
    <n v="90"/>
    <n v="360"/>
    <n v="200"/>
    <n v="160"/>
    <x v="5"/>
    <n v="4"/>
    <n v="2025"/>
    <n v="0.44444444444444442"/>
    <s v="No"/>
  </r>
  <r>
    <s v="ORD0087"/>
    <s v="2025-07-07"/>
    <x v="2"/>
    <x v="3"/>
    <x v="2"/>
    <x v="1"/>
    <n v="17"/>
    <n v="220"/>
    <n v="3740"/>
    <n v="2550"/>
    <n v="1190"/>
    <x v="10"/>
    <n v="7"/>
    <n v="2025"/>
    <n v="0.31818181818181818"/>
    <s v="No"/>
  </r>
  <r>
    <s v="ORD0088"/>
    <s v="2025-06-28"/>
    <x v="2"/>
    <x v="1"/>
    <x v="4"/>
    <x v="0"/>
    <n v="1"/>
    <n v="300"/>
    <n v="300"/>
    <n v="220"/>
    <n v="80"/>
    <x v="8"/>
    <n v="6"/>
    <n v="2025"/>
    <n v="0.26666666666666666"/>
    <s v="No"/>
  </r>
  <r>
    <s v="ORD0089"/>
    <s v="2025-12-15"/>
    <x v="1"/>
    <x v="5"/>
    <x v="5"/>
    <x v="0"/>
    <n v="5"/>
    <n v="850"/>
    <n v="4250"/>
    <n v="3250"/>
    <n v="1000"/>
    <x v="0"/>
    <n v="12"/>
    <n v="2025"/>
    <n v="0.23529411764705882"/>
    <s v="No"/>
  </r>
  <r>
    <s v="ORD0090"/>
    <s v="2025-07-10"/>
    <x v="2"/>
    <x v="5"/>
    <x v="5"/>
    <x v="0"/>
    <n v="12"/>
    <n v="850"/>
    <n v="10200"/>
    <n v="7800"/>
    <n v="2400"/>
    <x v="10"/>
    <n v="7"/>
    <n v="2025"/>
    <n v="0.23529411764705882"/>
    <s v="Yes"/>
  </r>
  <r>
    <s v="ORD0091"/>
    <s v="2025-04-20"/>
    <x v="3"/>
    <x v="2"/>
    <x v="0"/>
    <x v="0"/>
    <n v="1"/>
    <n v="600"/>
    <n v="600"/>
    <n v="430"/>
    <n v="170"/>
    <x v="5"/>
    <n v="4"/>
    <n v="2025"/>
    <n v="0.28333333333333333"/>
    <s v="No"/>
  </r>
  <r>
    <s v="ORD0092"/>
    <s v="2025-04-21"/>
    <x v="3"/>
    <x v="1"/>
    <x v="4"/>
    <x v="0"/>
    <n v="2"/>
    <n v="300"/>
    <n v="600"/>
    <n v="440"/>
    <n v="160"/>
    <x v="5"/>
    <n v="4"/>
    <n v="2025"/>
    <n v="0.26666666666666666"/>
    <s v="No"/>
  </r>
  <r>
    <s v="ORD0093"/>
    <s v="2025-06-14"/>
    <x v="2"/>
    <x v="0"/>
    <x v="4"/>
    <x v="0"/>
    <n v="16"/>
    <n v="300"/>
    <n v="4800"/>
    <n v="3520"/>
    <n v="1280"/>
    <x v="8"/>
    <n v="6"/>
    <n v="2025"/>
    <n v="0.26666666666666666"/>
    <s v="No"/>
  </r>
  <r>
    <s v="ORD0094"/>
    <s v="2025-07-15"/>
    <x v="2"/>
    <x v="1"/>
    <x v="2"/>
    <x v="1"/>
    <n v="10"/>
    <n v="220"/>
    <n v="2200"/>
    <n v="1500"/>
    <n v="700"/>
    <x v="10"/>
    <n v="7"/>
    <n v="2025"/>
    <n v="0.31818181818181818"/>
    <s v="No"/>
  </r>
  <r>
    <s v="ORD0095"/>
    <s v="2025-08-02"/>
    <x v="2"/>
    <x v="2"/>
    <x v="3"/>
    <x v="2"/>
    <n v="13"/>
    <n v="90"/>
    <n v="1170"/>
    <n v="650"/>
    <n v="520"/>
    <x v="9"/>
    <n v="8"/>
    <n v="2025"/>
    <n v="0.44444444444444442"/>
    <s v="No"/>
  </r>
  <r>
    <s v="ORD0096"/>
    <s v="2025-02-24"/>
    <x v="0"/>
    <x v="2"/>
    <x v="4"/>
    <x v="0"/>
    <n v="8"/>
    <n v="300"/>
    <n v="2400"/>
    <n v="1760"/>
    <n v="640"/>
    <x v="6"/>
    <n v="2"/>
    <n v="2025"/>
    <n v="0.26666666666666666"/>
    <s v="No"/>
  </r>
  <r>
    <s v="ORD0097"/>
    <s v="2025-02-06"/>
    <x v="2"/>
    <x v="3"/>
    <x v="5"/>
    <x v="0"/>
    <n v="20"/>
    <n v="850"/>
    <n v="17000"/>
    <n v="13000"/>
    <n v="4000"/>
    <x v="6"/>
    <n v="2"/>
    <n v="2025"/>
    <n v="0.23529411764705882"/>
    <s v="Yes"/>
  </r>
  <r>
    <s v="ORD0098"/>
    <s v="2025-05-06"/>
    <x v="3"/>
    <x v="4"/>
    <x v="3"/>
    <x v="2"/>
    <n v="10"/>
    <n v="90"/>
    <n v="900"/>
    <n v="500"/>
    <n v="400"/>
    <x v="2"/>
    <n v="5"/>
    <n v="2025"/>
    <n v="0.44444444444444442"/>
    <s v="No"/>
  </r>
  <r>
    <s v="ORD0099"/>
    <s v="2025-06-12"/>
    <x v="0"/>
    <x v="5"/>
    <x v="2"/>
    <x v="1"/>
    <n v="5"/>
    <n v="220"/>
    <n v="1100"/>
    <n v="750"/>
    <n v="350"/>
    <x v="8"/>
    <n v="6"/>
    <n v="2025"/>
    <n v="0.31818181818181818"/>
    <s v="No"/>
  </r>
  <r>
    <s v="ORD0100"/>
    <s v="2025-11-22"/>
    <x v="1"/>
    <x v="5"/>
    <x v="5"/>
    <x v="0"/>
    <n v="3"/>
    <n v="850"/>
    <n v="2550"/>
    <n v="1950"/>
    <n v="600"/>
    <x v="7"/>
    <n v="11"/>
    <n v="2025"/>
    <n v="0.23529411764705882"/>
    <s v="No"/>
  </r>
  <r>
    <s v="ORD0101"/>
    <s v="2025-12-09"/>
    <x v="3"/>
    <x v="3"/>
    <x v="5"/>
    <x v="0"/>
    <n v="5"/>
    <n v="850"/>
    <n v="4250"/>
    <n v="3250"/>
    <n v="1000"/>
    <x v="0"/>
    <n v="12"/>
    <n v="2025"/>
    <n v="0.23529411764705882"/>
    <s v="No"/>
  </r>
  <r>
    <s v="ORD0102"/>
    <s v="2025-11-08"/>
    <x v="0"/>
    <x v="2"/>
    <x v="2"/>
    <x v="1"/>
    <n v="18"/>
    <n v="220"/>
    <n v="3960"/>
    <n v="2700"/>
    <n v="1260"/>
    <x v="7"/>
    <n v="11"/>
    <n v="2025"/>
    <n v="0.31818181818181818"/>
    <s v="No"/>
  </r>
  <r>
    <s v="ORD0103"/>
    <s v="2025-12-22"/>
    <x v="2"/>
    <x v="2"/>
    <x v="0"/>
    <x v="0"/>
    <n v="9"/>
    <n v="600"/>
    <n v="5400"/>
    <n v="3870"/>
    <n v="1530"/>
    <x v="0"/>
    <n v="12"/>
    <n v="2025"/>
    <n v="0.28333333333333333"/>
    <s v="No"/>
  </r>
  <r>
    <s v="ORD0104"/>
    <s v="2025-07-07"/>
    <x v="0"/>
    <x v="1"/>
    <x v="0"/>
    <x v="0"/>
    <n v="10"/>
    <n v="600"/>
    <n v="6000"/>
    <n v="4300"/>
    <n v="1700"/>
    <x v="10"/>
    <n v="7"/>
    <n v="2025"/>
    <n v="0.28333333333333333"/>
    <s v="No"/>
  </r>
  <r>
    <s v="ORD0105"/>
    <s v="2025-11-09"/>
    <x v="2"/>
    <x v="3"/>
    <x v="3"/>
    <x v="2"/>
    <n v="2"/>
    <n v="90"/>
    <n v="180"/>
    <n v="100"/>
    <n v="80"/>
    <x v="7"/>
    <n v="11"/>
    <n v="2025"/>
    <n v="0.44444444444444442"/>
    <s v="No"/>
  </r>
  <r>
    <s v="ORD0106"/>
    <s v="2025-11-07"/>
    <x v="3"/>
    <x v="2"/>
    <x v="1"/>
    <x v="1"/>
    <n v="3"/>
    <n v="140"/>
    <n v="420"/>
    <n v="270"/>
    <n v="150"/>
    <x v="7"/>
    <n v="11"/>
    <n v="2025"/>
    <n v="0.35714285714285715"/>
    <s v="No"/>
  </r>
  <r>
    <s v="ORD0107"/>
    <s v="2025-09-08"/>
    <x v="2"/>
    <x v="4"/>
    <x v="2"/>
    <x v="1"/>
    <n v="11"/>
    <n v="220"/>
    <n v="2420"/>
    <n v="1650"/>
    <n v="770"/>
    <x v="3"/>
    <n v="9"/>
    <n v="2025"/>
    <n v="0.31818181818181818"/>
    <s v="No"/>
  </r>
  <r>
    <s v="ORD0108"/>
    <s v="2025-08-14"/>
    <x v="2"/>
    <x v="3"/>
    <x v="0"/>
    <x v="0"/>
    <n v="16"/>
    <n v="600"/>
    <n v="9600"/>
    <n v="6880"/>
    <n v="2720"/>
    <x v="9"/>
    <n v="8"/>
    <n v="2025"/>
    <n v="0.28333333333333333"/>
    <s v="Yes"/>
  </r>
  <r>
    <s v="ORD0109"/>
    <s v="2025-10-12"/>
    <x v="1"/>
    <x v="2"/>
    <x v="4"/>
    <x v="0"/>
    <n v="6"/>
    <n v="300"/>
    <n v="1800"/>
    <n v="1320"/>
    <n v="480"/>
    <x v="4"/>
    <n v="10"/>
    <n v="2025"/>
    <n v="0.26666666666666666"/>
    <s v="No"/>
  </r>
  <r>
    <s v="ORD0110"/>
    <s v="2025-04-15"/>
    <x v="1"/>
    <x v="1"/>
    <x v="4"/>
    <x v="0"/>
    <n v="4"/>
    <n v="300"/>
    <n v="1200"/>
    <n v="880"/>
    <n v="320"/>
    <x v="5"/>
    <n v="4"/>
    <n v="2025"/>
    <n v="0.26666666666666666"/>
    <s v="No"/>
  </r>
  <r>
    <s v="ORD0111"/>
    <s v="2025-04-19"/>
    <x v="0"/>
    <x v="2"/>
    <x v="2"/>
    <x v="1"/>
    <n v="9"/>
    <n v="220"/>
    <n v="1980"/>
    <n v="1350"/>
    <n v="630"/>
    <x v="5"/>
    <n v="4"/>
    <n v="2025"/>
    <n v="0.31818181818181818"/>
    <s v="No"/>
  </r>
  <r>
    <s v="ORD0112"/>
    <s v="2025-08-30"/>
    <x v="3"/>
    <x v="1"/>
    <x v="0"/>
    <x v="0"/>
    <n v="18"/>
    <n v="600"/>
    <n v="10800"/>
    <n v="7740"/>
    <n v="3060"/>
    <x v="9"/>
    <n v="8"/>
    <n v="2025"/>
    <n v="0.28333333333333333"/>
    <s v="Yes"/>
  </r>
  <r>
    <s v="ORD0113"/>
    <s v="2025-09-29"/>
    <x v="2"/>
    <x v="3"/>
    <x v="2"/>
    <x v="1"/>
    <n v="2"/>
    <n v="220"/>
    <n v="440"/>
    <n v="300"/>
    <n v="140"/>
    <x v="3"/>
    <n v="9"/>
    <n v="2025"/>
    <n v="0.31818181818181818"/>
    <s v="No"/>
  </r>
  <r>
    <s v="ORD0114"/>
    <s v="2025-03-21"/>
    <x v="1"/>
    <x v="3"/>
    <x v="2"/>
    <x v="1"/>
    <n v="4"/>
    <n v="220"/>
    <n v="880"/>
    <n v="600"/>
    <n v="280"/>
    <x v="11"/>
    <n v="3"/>
    <n v="2025"/>
    <n v="0.31818181818181818"/>
    <s v="No"/>
  </r>
  <r>
    <s v="ORD0115"/>
    <s v="2025-08-10"/>
    <x v="1"/>
    <x v="5"/>
    <x v="3"/>
    <x v="2"/>
    <n v="6"/>
    <n v="90"/>
    <n v="540"/>
    <n v="300"/>
    <n v="240"/>
    <x v="9"/>
    <n v="8"/>
    <n v="2025"/>
    <n v="0.44444444444444442"/>
    <s v="No"/>
  </r>
  <r>
    <s v="ORD0116"/>
    <s v="2025-12-30"/>
    <x v="1"/>
    <x v="0"/>
    <x v="2"/>
    <x v="1"/>
    <n v="4"/>
    <n v="220"/>
    <n v="880"/>
    <n v="600"/>
    <n v="280"/>
    <x v="0"/>
    <n v="12"/>
    <n v="2025"/>
    <n v="0.31818181818181818"/>
    <s v="No"/>
  </r>
  <r>
    <s v="ORD0117"/>
    <s v="2025-03-21"/>
    <x v="3"/>
    <x v="0"/>
    <x v="0"/>
    <x v="0"/>
    <n v="9"/>
    <n v="600"/>
    <n v="5400"/>
    <n v="3870"/>
    <n v="1530"/>
    <x v="11"/>
    <n v="3"/>
    <n v="2025"/>
    <n v="0.28333333333333333"/>
    <s v="No"/>
  </r>
  <r>
    <s v="ORD0118"/>
    <s v="2025-02-27"/>
    <x v="0"/>
    <x v="4"/>
    <x v="5"/>
    <x v="0"/>
    <n v="5"/>
    <n v="850"/>
    <n v="4250"/>
    <n v="3250"/>
    <n v="1000"/>
    <x v="6"/>
    <n v="2"/>
    <n v="2025"/>
    <n v="0.23529411764705882"/>
    <s v="No"/>
  </r>
  <r>
    <s v="ORD0119"/>
    <s v="2025-12-26"/>
    <x v="1"/>
    <x v="0"/>
    <x v="5"/>
    <x v="0"/>
    <n v="15"/>
    <n v="850"/>
    <n v="12750"/>
    <n v="9750"/>
    <n v="3000"/>
    <x v="0"/>
    <n v="12"/>
    <n v="2025"/>
    <n v="0.23529411764705882"/>
    <s v="Yes"/>
  </r>
  <r>
    <s v="ORD0120"/>
    <s v="2025-04-26"/>
    <x v="3"/>
    <x v="5"/>
    <x v="3"/>
    <x v="2"/>
    <n v="2"/>
    <n v="90"/>
    <n v="180"/>
    <n v="100"/>
    <n v="80"/>
    <x v="5"/>
    <n v="4"/>
    <n v="2025"/>
    <n v="0.44444444444444442"/>
    <s v="No"/>
  </r>
  <r>
    <s v="ORD0121"/>
    <s v="2025-07-27"/>
    <x v="1"/>
    <x v="1"/>
    <x v="5"/>
    <x v="0"/>
    <n v="15"/>
    <n v="850"/>
    <n v="12750"/>
    <n v="9750"/>
    <n v="3000"/>
    <x v="10"/>
    <n v="7"/>
    <n v="2025"/>
    <n v="0.23529411764705882"/>
    <s v="Yes"/>
  </r>
  <r>
    <s v="ORD0122"/>
    <s v="2025-08-10"/>
    <x v="0"/>
    <x v="5"/>
    <x v="1"/>
    <x v="1"/>
    <n v="12"/>
    <n v="140"/>
    <n v="1680"/>
    <n v="1080"/>
    <n v="600"/>
    <x v="9"/>
    <n v="8"/>
    <n v="2025"/>
    <n v="0.35714285714285715"/>
    <s v="No"/>
  </r>
  <r>
    <s v="ORD0123"/>
    <s v="2025-07-25"/>
    <x v="2"/>
    <x v="3"/>
    <x v="3"/>
    <x v="2"/>
    <n v="10"/>
    <n v="90"/>
    <n v="900"/>
    <n v="500"/>
    <n v="400"/>
    <x v="10"/>
    <n v="7"/>
    <n v="2025"/>
    <n v="0.44444444444444442"/>
    <s v="No"/>
  </r>
  <r>
    <s v="ORD0124"/>
    <s v="2025-12-29"/>
    <x v="3"/>
    <x v="1"/>
    <x v="0"/>
    <x v="0"/>
    <n v="11"/>
    <n v="600"/>
    <n v="6600"/>
    <n v="4730"/>
    <n v="1870"/>
    <x v="0"/>
    <n v="12"/>
    <n v="2025"/>
    <n v="0.28333333333333333"/>
    <s v="No"/>
  </r>
  <r>
    <s v="ORD0125"/>
    <s v="2025-10-30"/>
    <x v="2"/>
    <x v="0"/>
    <x v="1"/>
    <x v="1"/>
    <n v="4"/>
    <n v="140"/>
    <n v="560"/>
    <n v="360"/>
    <n v="200"/>
    <x v="4"/>
    <n v="10"/>
    <n v="2025"/>
    <n v="0.35714285714285715"/>
    <s v="No"/>
  </r>
  <r>
    <s v="ORD0126"/>
    <s v="2025-10-31"/>
    <x v="3"/>
    <x v="3"/>
    <x v="5"/>
    <x v="0"/>
    <n v="16"/>
    <n v="850"/>
    <n v="13600"/>
    <n v="10400"/>
    <n v="3200"/>
    <x v="4"/>
    <n v="10"/>
    <n v="2025"/>
    <n v="0.23529411764705882"/>
    <s v="Yes"/>
  </r>
  <r>
    <s v="ORD0127"/>
    <s v="2025-01-08"/>
    <x v="3"/>
    <x v="0"/>
    <x v="1"/>
    <x v="1"/>
    <n v="20"/>
    <n v="140"/>
    <n v="2800"/>
    <n v="1800"/>
    <n v="1000"/>
    <x v="1"/>
    <n v="1"/>
    <n v="2025"/>
    <n v="0.35714285714285715"/>
    <s v="No"/>
  </r>
  <r>
    <s v="ORD0128"/>
    <s v="2025-07-02"/>
    <x v="2"/>
    <x v="1"/>
    <x v="4"/>
    <x v="0"/>
    <n v="19"/>
    <n v="300"/>
    <n v="5700"/>
    <n v="4180"/>
    <n v="1520"/>
    <x v="10"/>
    <n v="7"/>
    <n v="2025"/>
    <n v="0.26666666666666666"/>
    <s v="No"/>
  </r>
  <r>
    <s v="ORD0129"/>
    <s v="2025-11-09"/>
    <x v="3"/>
    <x v="0"/>
    <x v="2"/>
    <x v="1"/>
    <n v="7"/>
    <n v="220"/>
    <n v="1540"/>
    <n v="1050"/>
    <n v="490"/>
    <x v="7"/>
    <n v="11"/>
    <n v="2025"/>
    <n v="0.31818181818181818"/>
    <s v="No"/>
  </r>
  <r>
    <s v="ORD0130"/>
    <s v="2025-11-27"/>
    <x v="2"/>
    <x v="0"/>
    <x v="0"/>
    <x v="0"/>
    <n v="16"/>
    <n v="600"/>
    <n v="9600"/>
    <n v="6880"/>
    <n v="2720"/>
    <x v="7"/>
    <n v="11"/>
    <n v="2025"/>
    <n v="0.28333333333333333"/>
    <s v="Yes"/>
  </r>
  <r>
    <s v="ORD0131"/>
    <s v="2025-07-25"/>
    <x v="0"/>
    <x v="1"/>
    <x v="0"/>
    <x v="0"/>
    <n v="2"/>
    <n v="600"/>
    <n v="1200"/>
    <n v="860"/>
    <n v="340"/>
    <x v="10"/>
    <n v="7"/>
    <n v="2025"/>
    <n v="0.28333333333333333"/>
    <s v="No"/>
  </r>
  <r>
    <s v="ORD0132"/>
    <s v="2025-04-24"/>
    <x v="2"/>
    <x v="3"/>
    <x v="3"/>
    <x v="2"/>
    <n v="20"/>
    <n v="90"/>
    <n v="1800"/>
    <n v="1000"/>
    <n v="800"/>
    <x v="5"/>
    <n v="4"/>
    <n v="2025"/>
    <n v="0.44444444444444442"/>
    <s v="No"/>
  </r>
  <r>
    <s v="ORD0133"/>
    <s v="2025-04-20"/>
    <x v="2"/>
    <x v="0"/>
    <x v="3"/>
    <x v="2"/>
    <n v="15"/>
    <n v="90"/>
    <n v="1350"/>
    <n v="750"/>
    <n v="600"/>
    <x v="5"/>
    <n v="4"/>
    <n v="2025"/>
    <n v="0.44444444444444442"/>
    <s v="No"/>
  </r>
  <r>
    <s v="ORD0134"/>
    <s v="2025-05-09"/>
    <x v="2"/>
    <x v="4"/>
    <x v="2"/>
    <x v="1"/>
    <n v="15"/>
    <n v="220"/>
    <n v="3300"/>
    <n v="2250"/>
    <n v="1050"/>
    <x v="2"/>
    <n v="5"/>
    <n v="2025"/>
    <n v="0.31818181818181818"/>
    <s v="No"/>
  </r>
  <r>
    <s v="ORD0135"/>
    <s v="2025-12-05"/>
    <x v="0"/>
    <x v="5"/>
    <x v="4"/>
    <x v="0"/>
    <n v="12"/>
    <n v="300"/>
    <n v="3600"/>
    <n v="2640"/>
    <n v="960"/>
    <x v="0"/>
    <n v="12"/>
    <n v="2025"/>
    <n v="0.26666666666666666"/>
    <s v="No"/>
  </r>
  <r>
    <s v="ORD0136"/>
    <s v="2025-07-30"/>
    <x v="2"/>
    <x v="0"/>
    <x v="3"/>
    <x v="2"/>
    <n v="18"/>
    <n v="90"/>
    <n v="1620"/>
    <n v="900"/>
    <n v="720"/>
    <x v="10"/>
    <n v="7"/>
    <n v="2025"/>
    <n v="0.44444444444444442"/>
    <s v="No"/>
  </r>
  <r>
    <s v="ORD0137"/>
    <s v="2025-08-21"/>
    <x v="0"/>
    <x v="0"/>
    <x v="4"/>
    <x v="0"/>
    <n v="14"/>
    <n v="300"/>
    <n v="4200"/>
    <n v="3080"/>
    <n v="1120"/>
    <x v="9"/>
    <n v="8"/>
    <n v="2025"/>
    <n v="0.26666666666666666"/>
    <s v="No"/>
  </r>
  <r>
    <s v="ORD0138"/>
    <s v="2025-12-31"/>
    <x v="0"/>
    <x v="4"/>
    <x v="3"/>
    <x v="2"/>
    <n v="12"/>
    <n v="90"/>
    <n v="1080"/>
    <n v="600"/>
    <n v="480"/>
    <x v="0"/>
    <n v="12"/>
    <n v="2025"/>
    <n v="0.44444444444444442"/>
    <s v="No"/>
  </r>
  <r>
    <s v="ORD0139"/>
    <s v="2025-06-09"/>
    <x v="3"/>
    <x v="5"/>
    <x v="1"/>
    <x v="1"/>
    <n v="6"/>
    <n v="140"/>
    <n v="840"/>
    <n v="540"/>
    <n v="300"/>
    <x v="8"/>
    <n v="6"/>
    <n v="2025"/>
    <n v="0.35714285714285715"/>
    <s v="No"/>
  </r>
  <r>
    <s v="ORD0140"/>
    <s v="2025-04-24"/>
    <x v="3"/>
    <x v="4"/>
    <x v="3"/>
    <x v="2"/>
    <n v="14"/>
    <n v="90"/>
    <n v="1260"/>
    <n v="700"/>
    <n v="560"/>
    <x v="5"/>
    <n v="4"/>
    <n v="2025"/>
    <n v="0.44444444444444442"/>
    <s v="No"/>
  </r>
  <r>
    <s v="ORD0141"/>
    <s v="2025-05-12"/>
    <x v="3"/>
    <x v="5"/>
    <x v="0"/>
    <x v="0"/>
    <n v="14"/>
    <n v="600"/>
    <n v="8400"/>
    <n v="6020"/>
    <n v="2380"/>
    <x v="2"/>
    <n v="5"/>
    <n v="2025"/>
    <n v="0.28333333333333333"/>
    <s v="Yes"/>
  </r>
  <r>
    <s v="ORD0142"/>
    <s v="2025-11-23"/>
    <x v="3"/>
    <x v="5"/>
    <x v="3"/>
    <x v="2"/>
    <n v="16"/>
    <n v="90"/>
    <n v="1440"/>
    <n v="800"/>
    <n v="640"/>
    <x v="7"/>
    <n v="11"/>
    <n v="2025"/>
    <n v="0.44444444444444442"/>
    <s v="No"/>
  </r>
  <r>
    <s v="ORD0143"/>
    <s v="2025-01-25"/>
    <x v="2"/>
    <x v="3"/>
    <x v="1"/>
    <x v="1"/>
    <n v="4"/>
    <n v="140"/>
    <n v="560"/>
    <n v="360"/>
    <n v="200"/>
    <x v="1"/>
    <n v="1"/>
    <n v="2025"/>
    <n v="0.35714285714285715"/>
    <s v="No"/>
  </r>
  <r>
    <s v="ORD0144"/>
    <s v="2025-04-09"/>
    <x v="0"/>
    <x v="3"/>
    <x v="1"/>
    <x v="1"/>
    <n v="20"/>
    <n v="140"/>
    <n v="2800"/>
    <n v="1800"/>
    <n v="1000"/>
    <x v="5"/>
    <n v="4"/>
    <n v="2025"/>
    <n v="0.35714285714285715"/>
    <s v="No"/>
  </r>
  <r>
    <s v="ORD0145"/>
    <s v="2025-07-08"/>
    <x v="1"/>
    <x v="0"/>
    <x v="4"/>
    <x v="0"/>
    <n v="17"/>
    <n v="300"/>
    <n v="5100"/>
    <n v="3740"/>
    <n v="1360"/>
    <x v="10"/>
    <n v="7"/>
    <n v="2025"/>
    <n v="0.26666666666666666"/>
    <s v="No"/>
  </r>
  <r>
    <s v="ORD0146"/>
    <s v="2025-05-13"/>
    <x v="0"/>
    <x v="5"/>
    <x v="5"/>
    <x v="0"/>
    <n v="8"/>
    <n v="850"/>
    <n v="6800"/>
    <n v="5200"/>
    <n v="1600"/>
    <x v="2"/>
    <n v="5"/>
    <n v="2025"/>
    <n v="0.23529411764705882"/>
    <s v="No"/>
  </r>
  <r>
    <s v="ORD0147"/>
    <s v="2025-06-17"/>
    <x v="1"/>
    <x v="4"/>
    <x v="5"/>
    <x v="0"/>
    <n v="4"/>
    <n v="850"/>
    <n v="3400"/>
    <n v="2600"/>
    <n v="800"/>
    <x v="8"/>
    <n v="6"/>
    <n v="2025"/>
    <n v="0.23529411764705882"/>
    <s v="No"/>
  </r>
  <r>
    <s v="ORD0148"/>
    <s v="2025-11-13"/>
    <x v="3"/>
    <x v="2"/>
    <x v="2"/>
    <x v="1"/>
    <n v="7"/>
    <n v="220"/>
    <n v="1540"/>
    <n v="1050"/>
    <n v="490"/>
    <x v="7"/>
    <n v="11"/>
    <n v="2025"/>
    <n v="0.31818181818181818"/>
    <s v="No"/>
  </r>
  <r>
    <s v="ORD0149"/>
    <s v="2025-06-24"/>
    <x v="0"/>
    <x v="5"/>
    <x v="3"/>
    <x v="2"/>
    <n v="17"/>
    <n v="90"/>
    <n v="1530"/>
    <n v="850"/>
    <n v="680"/>
    <x v="8"/>
    <n v="6"/>
    <n v="2025"/>
    <n v="0.44444444444444442"/>
    <s v="No"/>
  </r>
  <r>
    <s v="ORD0150"/>
    <s v="2025-01-22"/>
    <x v="2"/>
    <x v="2"/>
    <x v="1"/>
    <x v="1"/>
    <n v="2"/>
    <n v="140"/>
    <n v="280"/>
    <n v="180"/>
    <n v="100"/>
    <x v="1"/>
    <n v="1"/>
    <n v="2025"/>
    <n v="0.35714285714285715"/>
    <s v="No"/>
  </r>
  <r>
    <s v="ORD0151"/>
    <s v="2025-10-25"/>
    <x v="0"/>
    <x v="0"/>
    <x v="4"/>
    <x v="0"/>
    <n v="7"/>
    <n v="300"/>
    <n v="2100"/>
    <n v="1540"/>
    <n v="560"/>
    <x v="4"/>
    <n v="10"/>
    <n v="2025"/>
    <n v="0.26666666666666666"/>
    <s v="No"/>
  </r>
  <r>
    <s v="ORD0152"/>
    <s v="2025-01-27"/>
    <x v="2"/>
    <x v="3"/>
    <x v="1"/>
    <x v="1"/>
    <n v="3"/>
    <n v="140"/>
    <n v="420"/>
    <n v="270"/>
    <n v="150"/>
    <x v="1"/>
    <n v="1"/>
    <n v="2025"/>
    <n v="0.35714285714285715"/>
    <s v="No"/>
  </r>
  <r>
    <s v="ORD0153"/>
    <s v="2025-04-01"/>
    <x v="2"/>
    <x v="5"/>
    <x v="3"/>
    <x v="2"/>
    <n v="12"/>
    <n v="90"/>
    <n v="1080"/>
    <n v="600"/>
    <n v="480"/>
    <x v="5"/>
    <n v="4"/>
    <n v="2025"/>
    <n v="0.44444444444444442"/>
    <s v="No"/>
  </r>
  <r>
    <s v="ORD0154"/>
    <s v="2025-01-27"/>
    <x v="3"/>
    <x v="3"/>
    <x v="0"/>
    <x v="0"/>
    <n v="17"/>
    <n v="600"/>
    <n v="10200"/>
    <n v="7310"/>
    <n v="2890"/>
    <x v="1"/>
    <n v="1"/>
    <n v="2025"/>
    <n v="0.28333333333333333"/>
    <s v="Yes"/>
  </r>
  <r>
    <s v="ORD0155"/>
    <s v="2025-03-28"/>
    <x v="3"/>
    <x v="1"/>
    <x v="4"/>
    <x v="0"/>
    <n v="10"/>
    <n v="300"/>
    <n v="3000"/>
    <n v="2200"/>
    <n v="800"/>
    <x v="11"/>
    <n v="3"/>
    <n v="2025"/>
    <n v="0.26666666666666666"/>
    <s v="No"/>
  </r>
  <r>
    <s v="ORD0156"/>
    <s v="2025-07-29"/>
    <x v="0"/>
    <x v="1"/>
    <x v="1"/>
    <x v="1"/>
    <n v="8"/>
    <n v="140"/>
    <n v="1120"/>
    <n v="720"/>
    <n v="400"/>
    <x v="10"/>
    <n v="7"/>
    <n v="2025"/>
    <n v="0.35714285714285715"/>
    <s v="No"/>
  </r>
  <r>
    <s v="ORD0157"/>
    <s v="2025-03-19"/>
    <x v="1"/>
    <x v="3"/>
    <x v="2"/>
    <x v="1"/>
    <n v="14"/>
    <n v="220"/>
    <n v="3080"/>
    <n v="2100"/>
    <n v="980"/>
    <x v="11"/>
    <n v="3"/>
    <n v="2025"/>
    <n v="0.31818181818181818"/>
    <s v="No"/>
  </r>
  <r>
    <s v="ORD0158"/>
    <s v="2025-03-06"/>
    <x v="3"/>
    <x v="2"/>
    <x v="0"/>
    <x v="0"/>
    <n v="12"/>
    <n v="600"/>
    <n v="7200"/>
    <n v="5160"/>
    <n v="2040"/>
    <x v="11"/>
    <n v="3"/>
    <n v="2025"/>
    <n v="0.28333333333333333"/>
    <s v="Yes"/>
  </r>
  <r>
    <s v="ORD0159"/>
    <s v="2025-11-19"/>
    <x v="0"/>
    <x v="1"/>
    <x v="2"/>
    <x v="1"/>
    <n v="14"/>
    <n v="220"/>
    <n v="3080"/>
    <n v="2100"/>
    <n v="980"/>
    <x v="7"/>
    <n v="11"/>
    <n v="2025"/>
    <n v="0.31818181818181818"/>
    <s v="No"/>
  </r>
  <r>
    <s v="ORD0160"/>
    <s v="2025-02-20"/>
    <x v="2"/>
    <x v="0"/>
    <x v="5"/>
    <x v="0"/>
    <n v="13"/>
    <n v="850"/>
    <n v="11050"/>
    <n v="8450"/>
    <n v="2600"/>
    <x v="6"/>
    <n v="2"/>
    <n v="2025"/>
    <n v="0.23529411764705882"/>
    <s v="Yes"/>
  </r>
  <r>
    <s v="ORD0161"/>
    <s v="2025-08-31"/>
    <x v="0"/>
    <x v="3"/>
    <x v="0"/>
    <x v="0"/>
    <n v="13"/>
    <n v="600"/>
    <n v="7800"/>
    <n v="5590"/>
    <n v="2210"/>
    <x v="9"/>
    <n v="8"/>
    <n v="2025"/>
    <n v="0.28333333333333333"/>
    <s v="Yes"/>
  </r>
  <r>
    <s v="ORD0162"/>
    <s v="2025-10-09"/>
    <x v="0"/>
    <x v="5"/>
    <x v="4"/>
    <x v="0"/>
    <n v="19"/>
    <n v="300"/>
    <n v="5700"/>
    <n v="4180"/>
    <n v="1520"/>
    <x v="4"/>
    <n v="10"/>
    <n v="2025"/>
    <n v="0.26666666666666666"/>
    <s v="No"/>
  </r>
  <r>
    <s v="ORD0163"/>
    <s v="2025-05-15"/>
    <x v="3"/>
    <x v="2"/>
    <x v="3"/>
    <x v="2"/>
    <n v="20"/>
    <n v="90"/>
    <n v="1800"/>
    <n v="1000"/>
    <n v="800"/>
    <x v="2"/>
    <n v="5"/>
    <n v="2025"/>
    <n v="0.44444444444444442"/>
    <s v="No"/>
  </r>
  <r>
    <s v="ORD0164"/>
    <s v="2025-02-26"/>
    <x v="1"/>
    <x v="2"/>
    <x v="2"/>
    <x v="1"/>
    <n v="4"/>
    <n v="220"/>
    <n v="880"/>
    <n v="600"/>
    <n v="280"/>
    <x v="6"/>
    <n v="2"/>
    <n v="2025"/>
    <n v="0.31818181818181818"/>
    <s v="No"/>
  </r>
  <r>
    <s v="ORD0165"/>
    <s v="2025-04-24"/>
    <x v="1"/>
    <x v="5"/>
    <x v="3"/>
    <x v="2"/>
    <n v="14"/>
    <n v="90"/>
    <n v="1260"/>
    <n v="700"/>
    <n v="560"/>
    <x v="5"/>
    <n v="4"/>
    <n v="2025"/>
    <n v="0.44444444444444442"/>
    <s v="No"/>
  </r>
  <r>
    <s v="ORD0166"/>
    <s v="2025-10-30"/>
    <x v="3"/>
    <x v="2"/>
    <x v="2"/>
    <x v="1"/>
    <n v="14"/>
    <n v="220"/>
    <n v="3080"/>
    <n v="2100"/>
    <n v="980"/>
    <x v="4"/>
    <n v="10"/>
    <n v="2025"/>
    <n v="0.31818181818181818"/>
    <s v="No"/>
  </r>
  <r>
    <s v="ORD0167"/>
    <s v="2025-11-19"/>
    <x v="2"/>
    <x v="5"/>
    <x v="4"/>
    <x v="0"/>
    <n v="18"/>
    <n v="300"/>
    <n v="5400"/>
    <n v="3960"/>
    <n v="1440"/>
    <x v="7"/>
    <n v="11"/>
    <n v="2025"/>
    <n v="0.26666666666666666"/>
    <s v="No"/>
  </r>
  <r>
    <s v="ORD0168"/>
    <s v="2025-08-10"/>
    <x v="3"/>
    <x v="2"/>
    <x v="2"/>
    <x v="1"/>
    <n v="6"/>
    <n v="220"/>
    <n v="1320"/>
    <n v="900"/>
    <n v="420"/>
    <x v="9"/>
    <n v="8"/>
    <n v="2025"/>
    <n v="0.31818181818181818"/>
    <s v="No"/>
  </r>
  <r>
    <s v="ORD0169"/>
    <s v="2025-07-23"/>
    <x v="3"/>
    <x v="2"/>
    <x v="4"/>
    <x v="0"/>
    <n v="18"/>
    <n v="300"/>
    <n v="5400"/>
    <n v="3960"/>
    <n v="1440"/>
    <x v="10"/>
    <n v="7"/>
    <n v="2025"/>
    <n v="0.26666666666666666"/>
    <s v="No"/>
  </r>
  <r>
    <s v="ORD0170"/>
    <s v="2025-04-23"/>
    <x v="2"/>
    <x v="4"/>
    <x v="2"/>
    <x v="1"/>
    <n v="2"/>
    <n v="220"/>
    <n v="440"/>
    <n v="300"/>
    <n v="140"/>
    <x v="5"/>
    <n v="4"/>
    <n v="2025"/>
    <n v="0.31818181818181818"/>
    <s v="No"/>
  </r>
  <r>
    <s v="ORD0171"/>
    <s v="2025-06-08"/>
    <x v="0"/>
    <x v="4"/>
    <x v="3"/>
    <x v="2"/>
    <n v="17"/>
    <n v="90"/>
    <n v="1530"/>
    <n v="850"/>
    <n v="680"/>
    <x v="8"/>
    <n v="6"/>
    <n v="2025"/>
    <n v="0.44444444444444442"/>
    <s v="No"/>
  </r>
  <r>
    <s v="ORD0172"/>
    <s v="2025-02-10"/>
    <x v="3"/>
    <x v="2"/>
    <x v="1"/>
    <x v="1"/>
    <n v="20"/>
    <n v="140"/>
    <n v="2800"/>
    <n v="1800"/>
    <n v="1000"/>
    <x v="6"/>
    <n v="2"/>
    <n v="2025"/>
    <n v="0.35714285714285715"/>
    <s v="No"/>
  </r>
  <r>
    <s v="ORD0173"/>
    <s v="2025-08-25"/>
    <x v="1"/>
    <x v="5"/>
    <x v="0"/>
    <x v="0"/>
    <n v="5"/>
    <n v="600"/>
    <n v="3000"/>
    <n v="2150"/>
    <n v="850"/>
    <x v="9"/>
    <n v="8"/>
    <n v="2025"/>
    <n v="0.28333333333333333"/>
    <s v="No"/>
  </r>
  <r>
    <s v="ORD0174"/>
    <s v="2025-07-15"/>
    <x v="1"/>
    <x v="4"/>
    <x v="3"/>
    <x v="2"/>
    <n v="20"/>
    <n v="90"/>
    <n v="1800"/>
    <n v="1000"/>
    <n v="800"/>
    <x v="10"/>
    <n v="7"/>
    <n v="2025"/>
    <n v="0.44444444444444442"/>
    <s v="No"/>
  </r>
  <r>
    <s v="ORD0175"/>
    <s v="2025-11-05"/>
    <x v="0"/>
    <x v="5"/>
    <x v="5"/>
    <x v="0"/>
    <n v="9"/>
    <n v="850"/>
    <n v="7650"/>
    <n v="5850"/>
    <n v="1800"/>
    <x v="7"/>
    <n v="11"/>
    <n v="2025"/>
    <n v="0.23529411764705882"/>
    <s v="No"/>
  </r>
  <r>
    <s v="ORD0176"/>
    <s v="2025-06-18"/>
    <x v="2"/>
    <x v="5"/>
    <x v="5"/>
    <x v="0"/>
    <n v="14"/>
    <n v="850"/>
    <n v="11900"/>
    <n v="9100"/>
    <n v="2800"/>
    <x v="8"/>
    <n v="6"/>
    <n v="2025"/>
    <n v="0.23529411764705882"/>
    <s v="Yes"/>
  </r>
  <r>
    <s v="ORD0177"/>
    <s v="2025-08-01"/>
    <x v="3"/>
    <x v="5"/>
    <x v="4"/>
    <x v="0"/>
    <n v="9"/>
    <n v="300"/>
    <n v="2700"/>
    <n v="1980"/>
    <n v="720"/>
    <x v="9"/>
    <n v="8"/>
    <n v="2025"/>
    <n v="0.26666666666666666"/>
    <s v="No"/>
  </r>
  <r>
    <s v="ORD0178"/>
    <s v="2025-08-28"/>
    <x v="0"/>
    <x v="2"/>
    <x v="3"/>
    <x v="2"/>
    <n v="19"/>
    <n v="90"/>
    <n v="1710"/>
    <n v="950"/>
    <n v="760"/>
    <x v="9"/>
    <n v="8"/>
    <n v="2025"/>
    <n v="0.44444444444444442"/>
    <s v="No"/>
  </r>
  <r>
    <s v="ORD0179"/>
    <s v="2025-11-07"/>
    <x v="3"/>
    <x v="2"/>
    <x v="3"/>
    <x v="2"/>
    <n v="11"/>
    <n v="90"/>
    <n v="990"/>
    <n v="550"/>
    <n v="440"/>
    <x v="7"/>
    <n v="11"/>
    <n v="2025"/>
    <n v="0.44444444444444442"/>
    <s v="No"/>
  </r>
  <r>
    <s v="ORD0180"/>
    <s v="2025-12-26"/>
    <x v="3"/>
    <x v="3"/>
    <x v="3"/>
    <x v="2"/>
    <n v="15"/>
    <n v="90"/>
    <n v="1350"/>
    <n v="750"/>
    <n v="600"/>
    <x v="0"/>
    <n v="12"/>
    <n v="2025"/>
    <n v="0.44444444444444442"/>
    <s v="No"/>
  </r>
  <r>
    <s v="ORD0181"/>
    <s v="2025-04-19"/>
    <x v="2"/>
    <x v="1"/>
    <x v="3"/>
    <x v="2"/>
    <n v="12"/>
    <n v="90"/>
    <n v="1080"/>
    <n v="600"/>
    <n v="480"/>
    <x v="5"/>
    <n v="4"/>
    <n v="2025"/>
    <n v="0.44444444444444442"/>
    <s v="No"/>
  </r>
  <r>
    <s v="ORD0182"/>
    <s v="2025-12-31"/>
    <x v="2"/>
    <x v="1"/>
    <x v="4"/>
    <x v="0"/>
    <n v="6"/>
    <n v="300"/>
    <n v="1800"/>
    <n v="1320"/>
    <n v="480"/>
    <x v="0"/>
    <n v="12"/>
    <n v="2025"/>
    <n v="0.26666666666666666"/>
    <s v="No"/>
  </r>
  <r>
    <s v="ORD0183"/>
    <s v="2025-09-29"/>
    <x v="3"/>
    <x v="1"/>
    <x v="2"/>
    <x v="1"/>
    <n v="20"/>
    <n v="220"/>
    <n v="4400"/>
    <n v="3000"/>
    <n v="1400"/>
    <x v="3"/>
    <n v="9"/>
    <n v="2025"/>
    <n v="0.31818181818181818"/>
    <s v="No"/>
  </r>
  <r>
    <s v="ORD0184"/>
    <s v="2025-08-14"/>
    <x v="3"/>
    <x v="4"/>
    <x v="0"/>
    <x v="0"/>
    <n v="10"/>
    <n v="600"/>
    <n v="6000"/>
    <n v="4300"/>
    <n v="1700"/>
    <x v="9"/>
    <n v="8"/>
    <n v="2025"/>
    <n v="0.28333333333333333"/>
    <s v="No"/>
  </r>
  <r>
    <s v="ORD0185"/>
    <s v="2025-06-10"/>
    <x v="1"/>
    <x v="5"/>
    <x v="3"/>
    <x v="2"/>
    <n v="16"/>
    <n v="90"/>
    <n v="1440"/>
    <n v="800"/>
    <n v="640"/>
    <x v="8"/>
    <n v="6"/>
    <n v="2025"/>
    <n v="0.44444444444444442"/>
    <s v="No"/>
  </r>
  <r>
    <s v="ORD0186"/>
    <s v="2025-07-12"/>
    <x v="2"/>
    <x v="5"/>
    <x v="4"/>
    <x v="0"/>
    <n v="18"/>
    <n v="300"/>
    <n v="5400"/>
    <n v="3960"/>
    <n v="1440"/>
    <x v="10"/>
    <n v="7"/>
    <n v="2025"/>
    <n v="0.26666666666666666"/>
    <s v="No"/>
  </r>
  <r>
    <s v="ORD0187"/>
    <s v="2025-06-19"/>
    <x v="0"/>
    <x v="0"/>
    <x v="4"/>
    <x v="0"/>
    <n v="1"/>
    <n v="300"/>
    <n v="300"/>
    <n v="220"/>
    <n v="80"/>
    <x v="8"/>
    <n v="6"/>
    <n v="2025"/>
    <n v="0.26666666666666666"/>
    <s v="No"/>
  </r>
  <r>
    <s v="ORD0188"/>
    <s v="2025-08-26"/>
    <x v="1"/>
    <x v="3"/>
    <x v="0"/>
    <x v="0"/>
    <n v="20"/>
    <n v="600"/>
    <n v="12000"/>
    <n v="8600"/>
    <n v="3400"/>
    <x v="9"/>
    <n v="8"/>
    <n v="2025"/>
    <n v="0.28333333333333333"/>
    <s v="Yes"/>
  </r>
  <r>
    <s v="ORD0189"/>
    <s v="2025-01-27"/>
    <x v="3"/>
    <x v="4"/>
    <x v="5"/>
    <x v="0"/>
    <n v="19"/>
    <n v="850"/>
    <n v="16150"/>
    <n v="12350"/>
    <n v="3800"/>
    <x v="1"/>
    <n v="1"/>
    <n v="2025"/>
    <n v="0.23529411764705882"/>
    <s v="Yes"/>
  </r>
  <r>
    <s v="ORD0190"/>
    <s v="2025-01-03"/>
    <x v="0"/>
    <x v="4"/>
    <x v="5"/>
    <x v="0"/>
    <n v="20"/>
    <n v="850"/>
    <n v="17000"/>
    <n v="13000"/>
    <n v="4000"/>
    <x v="1"/>
    <n v="1"/>
    <n v="2025"/>
    <n v="0.23529411764705882"/>
    <s v="Yes"/>
  </r>
  <r>
    <s v="ORD0191"/>
    <s v="2025-10-09"/>
    <x v="3"/>
    <x v="1"/>
    <x v="1"/>
    <x v="1"/>
    <n v="7"/>
    <n v="140"/>
    <n v="980"/>
    <n v="630"/>
    <n v="350"/>
    <x v="4"/>
    <n v="10"/>
    <n v="2025"/>
    <n v="0.35714285714285715"/>
    <s v="No"/>
  </r>
  <r>
    <s v="ORD0192"/>
    <s v="2025-04-01"/>
    <x v="3"/>
    <x v="1"/>
    <x v="5"/>
    <x v="0"/>
    <n v="4"/>
    <n v="850"/>
    <n v="3400"/>
    <n v="2600"/>
    <n v="800"/>
    <x v="5"/>
    <n v="4"/>
    <n v="2025"/>
    <n v="0.23529411764705882"/>
    <s v="No"/>
  </r>
  <r>
    <s v="ORD0193"/>
    <s v="2025-07-09"/>
    <x v="0"/>
    <x v="3"/>
    <x v="2"/>
    <x v="1"/>
    <n v="11"/>
    <n v="220"/>
    <n v="2420"/>
    <n v="1650"/>
    <n v="770"/>
    <x v="10"/>
    <n v="7"/>
    <n v="2025"/>
    <n v="0.31818181818181818"/>
    <s v="No"/>
  </r>
  <r>
    <s v="ORD0194"/>
    <s v="2025-07-22"/>
    <x v="2"/>
    <x v="2"/>
    <x v="1"/>
    <x v="1"/>
    <n v="4"/>
    <n v="140"/>
    <n v="560"/>
    <n v="360"/>
    <n v="200"/>
    <x v="10"/>
    <n v="7"/>
    <n v="2025"/>
    <n v="0.35714285714285715"/>
    <s v="No"/>
  </r>
  <r>
    <s v="ORD0195"/>
    <s v="2025-05-18"/>
    <x v="0"/>
    <x v="4"/>
    <x v="4"/>
    <x v="0"/>
    <n v="13"/>
    <n v="300"/>
    <n v="3900"/>
    <n v="2860"/>
    <n v="1040"/>
    <x v="2"/>
    <n v="5"/>
    <n v="2025"/>
    <n v="0.26666666666666666"/>
    <s v="No"/>
  </r>
  <r>
    <s v="ORD0196"/>
    <s v="2025-12-03"/>
    <x v="1"/>
    <x v="4"/>
    <x v="3"/>
    <x v="2"/>
    <n v="11"/>
    <n v="90"/>
    <n v="990"/>
    <n v="550"/>
    <n v="440"/>
    <x v="0"/>
    <n v="12"/>
    <n v="2025"/>
    <n v="0.44444444444444442"/>
    <s v="No"/>
  </r>
  <r>
    <s v="ORD0197"/>
    <s v="2025-06-12"/>
    <x v="0"/>
    <x v="1"/>
    <x v="1"/>
    <x v="1"/>
    <n v="18"/>
    <n v="140"/>
    <n v="2520"/>
    <n v="1620"/>
    <n v="900"/>
    <x v="8"/>
    <n v="6"/>
    <n v="2025"/>
    <n v="0.35714285714285715"/>
    <s v="No"/>
  </r>
  <r>
    <s v="ORD0198"/>
    <s v="2025-03-12"/>
    <x v="0"/>
    <x v="1"/>
    <x v="1"/>
    <x v="1"/>
    <n v="8"/>
    <n v="140"/>
    <n v="1120"/>
    <n v="720"/>
    <n v="400"/>
    <x v="11"/>
    <n v="3"/>
    <n v="2025"/>
    <n v="0.35714285714285715"/>
    <s v="No"/>
  </r>
  <r>
    <s v="ORD0199"/>
    <s v="2025-11-29"/>
    <x v="3"/>
    <x v="0"/>
    <x v="1"/>
    <x v="1"/>
    <n v="6"/>
    <n v="140"/>
    <n v="840"/>
    <n v="540"/>
    <n v="300"/>
    <x v="7"/>
    <n v="11"/>
    <n v="2025"/>
    <n v="0.35714285714285715"/>
    <s v="No"/>
  </r>
  <r>
    <s v="ORD0200"/>
    <s v="2025-02-28"/>
    <x v="1"/>
    <x v="4"/>
    <x v="1"/>
    <x v="1"/>
    <n v="14"/>
    <n v="140"/>
    <n v="1960"/>
    <n v="1260"/>
    <n v="700"/>
    <x v="6"/>
    <n v="2"/>
    <n v="2025"/>
    <n v="0.35714285714285715"/>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73B40-EB26-4033-A307-70A9750014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7:B51" firstHeaderRow="1" firstDataRow="1" firstDataCol="1"/>
  <pivotFields count="16">
    <pivotField showAll="0"/>
    <pivotField showAll="0"/>
    <pivotField showAll="0">
      <items count="5">
        <item x="2"/>
        <item x="1"/>
        <item x="0"/>
        <item x="3"/>
        <item t="default"/>
      </items>
    </pivotField>
    <pivotField showAll="0">
      <items count="7">
        <item x="2"/>
        <item x="1"/>
        <item x="3"/>
        <item x="5"/>
        <item x="4"/>
        <item x="0"/>
        <item t="default"/>
      </items>
    </pivotField>
    <pivotField showAll="0">
      <items count="7">
        <item x="1"/>
        <item x="2"/>
        <item x="3"/>
        <item x="5"/>
        <item x="4"/>
        <item x="0"/>
        <item t="default"/>
      </items>
    </pivotField>
    <pivotField axis="axisRow" showAll="0">
      <items count="4">
        <item x="2"/>
        <item x="0"/>
        <item x="1"/>
        <item t="default"/>
      </items>
    </pivotField>
    <pivotField numFmtId="1" showAll="0"/>
    <pivotField numFmtId="1" showAll="0"/>
    <pivotField dataField="1" numFmtId="165" showAll="0"/>
    <pivotField numFmtId="165" showAll="0"/>
    <pivotField numFmtId="165" showAll="0"/>
    <pivotField showAll="0"/>
    <pivotField numFmtId="1" showAll="0"/>
    <pivotField numFmtId="1" showAll="0"/>
    <pivotField numFmtId="9" showAll="0"/>
    <pivotField showAll="0"/>
  </pivotFields>
  <rowFields count="1">
    <field x="5"/>
  </rowFields>
  <rowItems count="4">
    <i>
      <x/>
    </i>
    <i>
      <x v="1"/>
    </i>
    <i>
      <x v="2"/>
    </i>
    <i t="grand">
      <x/>
    </i>
  </rowItems>
  <colItems count="1">
    <i/>
  </colItems>
  <dataFields count="1">
    <dataField name="Sum of Revenue" fld="8" baseField="0" baseItem="0" numFmtId="165"/>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4D3C36-EAA4-456E-8B6B-5AE3F8DF85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6:B43" firstHeaderRow="1" firstDataRow="1" firstDataCol="1"/>
  <pivotFields count="16">
    <pivotField showAll="0"/>
    <pivotField showAll="0"/>
    <pivotField showAll="0">
      <items count="5">
        <item x="2"/>
        <item x="1"/>
        <item x="0"/>
        <item x="3"/>
        <item t="default"/>
      </items>
    </pivotField>
    <pivotField axis="axisRow" showAll="0">
      <items count="7">
        <item x="2"/>
        <item x="1"/>
        <item x="3"/>
        <item x="5"/>
        <item x="4"/>
        <item x="0"/>
        <item t="default"/>
      </items>
    </pivotField>
    <pivotField showAll="0">
      <items count="7">
        <item x="1"/>
        <item x="2"/>
        <item x="3"/>
        <item x="5"/>
        <item x="4"/>
        <item x="0"/>
        <item t="default"/>
      </items>
    </pivotField>
    <pivotField showAll="0">
      <items count="4">
        <item x="2"/>
        <item x="0"/>
        <item x="1"/>
        <item t="default"/>
      </items>
    </pivotField>
    <pivotField numFmtId="1" showAll="0"/>
    <pivotField numFmtId="1" showAll="0"/>
    <pivotField numFmtId="165" showAll="0"/>
    <pivotField numFmtId="165" showAll="0"/>
    <pivotField dataField="1" numFmtId="165" showAll="0"/>
    <pivotField showAll="0"/>
    <pivotField numFmtId="1" showAll="0"/>
    <pivotField numFmtId="1" showAll="0"/>
    <pivotField numFmtId="9" showAll="0"/>
    <pivotField showAll="0"/>
  </pivotFields>
  <rowFields count="1">
    <field x="3"/>
  </rowFields>
  <rowItems count="7">
    <i>
      <x/>
    </i>
    <i>
      <x v="1"/>
    </i>
    <i>
      <x v="2"/>
    </i>
    <i>
      <x v="3"/>
    </i>
    <i>
      <x v="4"/>
    </i>
    <i>
      <x v="5"/>
    </i>
    <i t="grand">
      <x/>
    </i>
  </rowItems>
  <colItems count="1">
    <i/>
  </colItems>
  <dataFields count="1">
    <dataField name="Sum of Profit" fld="10" baseField="0"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18023-A633-4812-940E-F71DFA93B8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9:B32" firstHeaderRow="1" firstDataRow="1" firstDataCol="1"/>
  <pivotFields count="16">
    <pivotField showAll="0"/>
    <pivotField showAll="0"/>
    <pivotField showAll="0">
      <items count="5">
        <item x="2"/>
        <item x="1"/>
        <item x="0"/>
        <item x="3"/>
        <item t="default"/>
      </items>
    </pivotField>
    <pivotField showAll="0">
      <items count="7">
        <item x="2"/>
        <item x="1"/>
        <item x="3"/>
        <item x="5"/>
        <item x="4"/>
        <item x="0"/>
        <item t="default"/>
      </items>
    </pivotField>
    <pivotField showAll="0">
      <items count="7">
        <item x="1"/>
        <item x="2"/>
        <item x="3"/>
        <item x="5"/>
        <item x="4"/>
        <item x="0"/>
        <item t="default"/>
      </items>
    </pivotField>
    <pivotField showAll="0">
      <items count="4">
        <item x="2"/>
        <item x="0"/>
        <item x="1"/>
        <item t="default"/>
      </items>
    </pivotField>
    <pivotField numFmtId="1" showAll="0"/>
    <pivotField numFmtId="1" showAll="0"/>
    <pivotField dataField="1" numFmtId="165" showAll="0"/>
    <pivotField numFmtId="165" showAll="0"/>
    <pivotField numFmtId="165" showAll="0"/>
    <pivotField axis="axisRow" showAll="0">
      <items count="13">
        <item x="1"/>
        <item x="6"/>
        <item x="11"/>
        <item x="5"/>
        <item x="2"/>
        <item x="8"/>
        <item x="10"/>
        <item x="9"/>
        <item x="3"/>
        <item x="4"/>
        <item x="7"/>
        <item x="0"/>
        <item t="default"/>
      </items>
    </pivotField>
    <pivotField numFmtId="1" showAll="0"/>
    <pivotField numFmtId="1" showAll="0"/>
    <pivotField numFmtId="9"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Revenue" fld="8" baseField="0" baseItem="0" numFmtId="165"/>
  </dataFields>
  <chartFormats count="1">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7DA91A-6984-4785-B797-A3FC4C14B7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16" firstHeaderRow="1" firstDataRow="1" firstDataCol="1"/>
  <pivotFields count="16">
    <pivotField showAll="0"/>
    <pivotField showAll="0"/>
    <pivotField showAll="0">
      <items count="5">
        <item x="2"/>
        <item x="1"/>
        <item x="0"/>
        <item x="3"/>
        <item t="default"/>
      </items>
    </pivotField>
    <pivotField showAll="0">
      <items count="7">
        <item x="2"/>
        <item x="1"/>
        <item x="3"/>
        <item x="5"/>
        <item x="4"/>
        <item x="0"/>
        <item t="default"/>
      </items>
    </pivotField>
    <pivotField axis="axisRow" showAll="0">
      <items count="7">
        <item x="1"/>
        <item x="2"/>
        <item x="3"/>
        <item x="5"/>
        <item x="4"/>
        <item x="0"/>
        <item t="default"/>
      </items>
    </pivotField>
    <pivotField showAll="0">
      <items count="4">
        <item x="2"/>
        <item x="0"/>
        <item x="1"/>
        <item t="default"/>
      </items>
    </pivotField>
    <pivotField numFmtId="1" showAll="0"/>
    <pivotField numFmtId="1" showAll="0"/>
    <pivotField numFmtId="165" showAll="0"/>
    <pivotField numFmtId="165" showAll="0"/>
    <pivotField dataField="1" numFmtId="165" showAll="0"/>
    <pivotField showAll="0"/>
    <pivotField numFmtId="1" showAll="0"/>
    <pivotField numFmtId="1" showAll="0"/>
    <pivotField numFmtId="9" showAll="0"/>
    <pivotField showAll="0"/>
  </pivotFields>
  <rowFields count="1">
    <field x="4"/>
  </rowFields>
  <rowItems count="7">
    <i>
      <x/>
    </i>
    <i>
      <x v="1"/>
    </i>
    <i>
      <x v="2"/>
    </i>
    <i>
      <x v="3"/>
    </i>
    <i>
      <x v="4"/>
    </i>
    <i>
      <x v="5"/>
    </i>
    <i t="grand">
      <x/>
    </i>
  </rowItems>
  <colItems count="1">
    <i/>
  </colItems>
  <dataFields count="1">
    <dataField name="Sum of Profit" fld="10" baseField="0" baseItem="0" numFmtId="165"/>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76304D-97A7-4F85-9E19-0C2C4D0A03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16">
    <pivotField showAll="0"/>
    <pivotField showAll="0"/>
    <pivotField axis="axisRow" showAll="0">
      <items count="5">
        <item x="2"/>
        <item x="1"/>
        <item x="0"/>
        <item x="3"/>
        <item t="default"/>
      </items>
    </pivotField>
    <pivotField showAll="0">
      <items count="7">
        <item x="2"/>
        <item x="1"/>
        <item x="3"/>
        <item x="5"/>
        <item x="4"/>
        <item x="0"/>
        <item t="default"/>
      </items>
    </pivotField>
    <pivotField showAll="0">
      <items count="7">
        <item x="1"/>
        <item x="2"/>
        <item x="3"/>
        <item x="5"/>
        <item x="4"/>
        <item x="0"/>
        <item t="default"/>
      </items>
    </pivotField>
    <pivotField showAll="0">
      <items count="4">
        <item x="2"/>
        <item x="0"/>
        <item x="1"/>
        <item t="default"/>
      </items>
    </pivotField>
    <pivotField numFmtId="1" showAll="0"/>
    <pivotField numFmtId="1" showAll="0"/>
    <pivotField dataField="1" numFmtId="165" showAll="0"/>
    <pivotField numFmtId="165" showAll="0"/>
    <pivotField numFmtId="165" showAll="0"/>
    <pivotField showAll="0"/>
    <pivotField numFmtId="1" showAll="0"/>
    <pivotField numFmtId="1" showAll="0"/>
    <pivotField numFmtId="9" showAll="0"/>
    <pivotField showAll="0"/>
  </pivotFields>
  <rowFields count="1">
    <field x="2"/>
  </rowFields>
  <rowItems count="5">
    <i>
      <x/>
    </i>
    <i>
      <x v="1"/>
    </i>
    <i>
      <x v="2"/>
    </i>
    <i>
      <x v="3"/>
    </i>
    <i t="grand">
      <x/>
    </i>
  </rowItems>
  <colItems count="1">
    <i/>
  </colItems>
  <dataFields count="1">
    <dataField name="Sum of Revenue" fld="8"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D08E84-7F52-4CB9-8C9C-5119B16562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5:B62" firstHeaderRow="1" firstDataRow="1" firstDataCol="1"/>
  <pivotFields count="16">
    <pivotField showAll="0"/>
    <pivotField showAll="0"/>
    <pivotField showAll="0">
      <items count="5">
        <item x="2"/>
        <item x="1"/>
        <item x="0"/>
        <item x="3"/>
        <item t="default"/>
      </items>
    </pivotField>
    <pivotField showAll="0">
      <items count="7">
        <item x="2"/>
        <item x="1"/>
        <item x="3"/>
        <item x="5"/>
        <item x="4"/>
        <item x="0"/>
        <item t="default"/>
      </items>
    </pivotField>
    <pivotField axis="axisRow" showAll="0">
      <items count="7">
        <item x="1"/>
        <item x="2"/>
        <item x="3"/>
        <item x="5"/>
        <item x="4"/>
        <item x="0"/>
        <item t="default"/>
      </items>
    </pivotField>
    <pivotField showAll="0">
      <items count="4">
        <item x="2"/>
        <item x="0"/>
        <item x="1"/>
        <item t="default"/>
      </items>
    </pivotField>
    <pivotField dataField="1" numFmtId="1" showAll="0"/>
    <pivotField numFmtId="1" showAll="0"/>
    <pivotField numFmtId="165" showAll="0"/>
    <pivotField numFmtId="165" showAll="0"/>
    <pivotField numFmtId="165" showAll="0"/>
    <pivotField showAll="0"/>
    <pivotField numFmtId="1" showAll="0"/>
    <pivotField numFmtId="1" showAll="0"/>
    <pivotField numFmtId="9" showAll="0"/>
    <pivotField showAll="0"/>
  </pivotFields>
  <rowFields count="1">
    <field x="4"/>
  </rowFields>
  <rowItems count="7">
    <i>
      <x/>
    </i>
    <i>
      <x v="1"/>
    </i>
    <i>
      <x v="2"/>
    </i>
    <i>
      <x v="3"/>
    </i>
    <i>
      <x v="4"/>
    </i>
    <i>
      <x v="5"/>
    </i>
    <i t="grand">
      <x/>
    </i>
  </rowItems>
  <colItems count="1">
    <i/>
  </colItems>
  <dataFields count="1">
    <dataField name="Sum of Units_Sold" fld="6" baseField="0" baseItem="0" numFmtId="1"/>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18D7BF-8FD0-40E3-8E82-D9EAFC6CD45F}" sourceName="Region">
  <pivotTables>
    <pivotTable tabId="4" name="PivotTable1"/>
    <pivotTable tabId="4" name="PivotTable2"/>
    <pivotTable tabId="4" name="PivotTable3"/>
    <pivotTable tabId="4" name="PivotTable4"/>
    <pivotTable tabId="4" name="PivotTable5"/>
    <pivotTable tabId="4" name="PivotTable6"/>
  </pivotTables>
  <data>
    <tabular pivotCacheId="152899136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7244B8F-A2F4-48CA-A4D7-A175C4ACD855}" sourceName="Salesperson">
  <pivotTables>
    <pivotTable tabId="4" name="PivotTable1"/>
    <pivotTable tabId="4" name="PivotTable2"/>
    <pivotTable tabId="4" name="PivotTable3"/>
    <pivotTable tabId="4" name="PivotTable4"/>
    <pivotTable tabId="4" name="PivotTable5"/>
    <pivotTable tabId="4" name="PivotTable6"/>
  </pivotTables>
  <data>
    <tabular pivotCacheId="1528991361">
      <items count="6">
        <i x="2" s="1"/>
        <i x="1" s="1"/>
        <i x="3" s="1"/>
        <i x="5"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61AFF9-27B9-44AB-9447-BD6C15076E7D}" sourceName="Product">
  <pivotTables>
    <pivotTable tabId="4" name="PivotTable1"/>
    <pivotTable tabId="4" name="PivotTable2"/>
    <pivotTable tabId="4" name="PivotTable3"/>
    <pivotTable tabId="4" name="PivotTable4"/>
    <pivotTable tabId="4" name="PivotTable5"/>
    <pivotTable tabId="4" name="PivotTable6"/>
  </pivotTables>
  <data>
    <tabular pivotCacheId="1528991361">
      <items count="6">
        <i x="1" s="1"/>
        <i x="2" s="1"/>
        <i x="3" s="1"/>
        <i x="5"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E0106F-E3E9-4E8A-8DAA-8B91197B972C}" sourceName="Category">
  <pivotTables>
    <pivotTable tabId="4" name="PivotTable1"/>
    <pivotTable tabId="4" name="PivotTable2"/>
    <pivotTable tabId="4" name="PivotTable3"/>
    <pivotTable tabId="4" name="PivotTable4"/>
    <pivotTable tabId="4" name="PivotTable5"/>
    <pivotTable tabId="4" name="PivotTable6"/>
  </pivotTables>
  <data>
    <tabular pivotCacheId="15289913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4C43D0-D0A4-4FE5-8A3B-EE16CD7F62EF}" cache="Slicer_Region" caption="Region" rowHeight="241300"/>
  <slicer name="Salesperson" xr10:uid="{F7BFCD4C-8040-44F4-BD89-9388450CFA03}" cache="Slicer_Salesperson" caption="Salesperson" rowHeight="241300"/>
  <slicer name="Product" xr10:uid="{227F1A63-22DC-4DCB-937C-7863BFFFA03F}" cache="Slicer_Product" caption="Product" rowHeight="241300"/>
  <slicer name="Category" xr10:uid="{C6E91647-7943-4B86-9C2D-B93F9891015A}"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642DFA-4995-43EB-AC42-5D89B5C9BE32}" name="Sales_tbl" displayName="Sales_tbl" ref="A1:P201" totalsRowShown="0" headerRowDxfId="11">
  <autoFilter ref="A1:P201" xr:uid="{FF642DFA-4995-43EB-AC42-5D89B5C9BE32}"/>
  <tableColumns count="16">
    <tableColumn id="1" xr3:uid="{E2B6C0D4-3DB9-4482-8C50-3A832E5D1774}" name="Order_id"/>
    <tableColumn id="2" xr3:uid="{A667EE88-069F-4383-AA55-28AF161CC20C}" name="Order_Date" dataDxfId="10"/>
    <tableColumn id="3" xr3:uid="{926598EE-10FD-4DA5-BBAF-8E51F2BD83A3}" name="Region"/>
    <tableColumn id="4" xr3:uid="{AE54B42B-AFAC-4A2D-A74E-BDF3008AF546}" name="Salesperson"/>
    <tableColumn id="5" xr3:uid="{FDBB5228-BA04-495A-9943-64DCDD39A500}" name="Product"/>
    <tableColumn id="6" xr3:uid="{E16F332C-67AE-468D-BB6D-D5E25C97AB83}" name="Category"/>
    <tableColumn id="7" xr3:uid="{EE7FDD44-0932-4A2C-A882-79CBBF36A305}" name="Units_Sold" dataDxfId="9"/>
    <tableColumn id="8" xr3:uid="{E023D5CB-7503-4CA1-94CC-468766BF55CC}" name="Unit_Price" dataDxfId="8"/>
    <tableColumn id="9" xr3:uid="{F4EFB09A-6DF8-445C-8D99-E19BF6491F4F}" name="Revenue" dataDxfId="7"/>
    <tableColumn id="10" xr3:uid="{37B10E88-26E3-4636-90EF-DB9A2D7350EC}" name="Cost" dataDxfId="6"/>
    <tableColumn id="11" xr3:uid="{9982005E-439C-44C8-B871-92850C92BE3A}" name="Profit" dataDxfId="5"/>
    <tableColumn id="13" xr3:uid="{6019DF95-73A1-4696-886C-E9EAFFAB1EE5}" name="Month" dataDxfId="4">
      <calculatedColumnFormula>TEXT(Sales_tbl[[#This Row],[Order_Date]],"mmm")</calculatedColumnFormula>
    </tableColumn>
    <tableColumn id="14" xr3:uid="{43FA2C34-5894-4369-8AC6-8DDC61B5FECE}" name="Month_num" dataDxfId="3">
      <calculatedColumnFormula>MONTH(Sales_tbl[[#This Row],[Order_Date]])</calculatedColumnFormula>
    </tableColumn>
    <tableColumn id="15" xr3:uid="{E77D01E6-D1A5-46CE-BD90-732A6FFB955F}" name="Year" dataDxfId="2">
      <calculatedColumnFormula>YEAR(Sales_tbl[[#This Row],[Order_Date]])</calculatedColumnFormula>
    </tableColumn>
    <tableColumn id="16" xr3:uid="{F4CF7374-26C2-498F-845D-D60281F533D1}" name="Profit_Margin" dataCellStyle="Percent">
      <calculatedColumnFormula>IFERROR(Sales_tbl[[#This Row],[Profit]]/Sales_tbl[[#This Row],[Revenue]],0)</calculatedColumnFormula>
    </tableColumn>
    <tableColumn id="17" xr3:uid="{42B82905-6A3B-4404-A48A-D53203F21E0C}" name="High_Profit" dataDxfId="1">
      <calculatedColumnFormula>IF(Sales_tbl[[#This Row],[Profit]]&gt;2000, "Yes", "No")</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1"/>
  <sheetViews>
    <sheetView topLeftCell="F1" workbookViewId="0">
      <pane ySplit="1" topLeftCell="A2" activePane="bottomLeft" state="frozen"/>
      <selection pane="bottomLeft" activeCell="S5" sqref="S5"/>
    </sheetView>
  </sheetViews>
  <sheetFormatPr defaultRowHeight="14.5" x14ac:dyDescent="0.35"/>
  <cols>
    <col min="1" max="1" width="10.26953125" customWidth="1"/>
    <col min="2" max="2" width="12.7265625" style="2" customWidth="1"/>
    <col min="4" max="4" width="12.81640625" customWidth="1"/>
    <col min="5" max="5" width="9.453125" customWidth="1"/>
    <col min="6" max="6" width="10.26953125" customWidth="1"/>
    <col min="7" max="7" width="11.7265625" style="1" customWidth="1"/>
    <col min="8" max="8" width="11.453125" style="1" customWidth="1"/>
    <col min="9" max="10" width="11.08984375" style="3" bestFit="1" customWidth="1"/>
    <col min="11" max="11" width="10.08984375" style="3" bestFit="1" customWidth="1"/>
    <col min="13" max="13" width="13.6328125" style="1" bestFit="1" customWidth="1"/>
    <col min="14" max="14" width="10.453125" style="1" bestFit="1" customWidth="1"/>
    <col min="15" max="15" width="8.7265625" style="4"/>
    <col min="18" max="18" width="12.6328125" bestFit="1" customWidth="1"/>
    <col min="19" max="19" width="9.54296875" bestFit="1" customWidth="1"/>
  </cols>
  <sheetData>
    <row r="1" spans="1:19" x14ac:dyDescent="0.35">
      <c r="A1" t="s">
        <v>391</v>
      </c>
      <c r="B1" s="2" t="s">
        <v>0</v>
      </c>
      <c r="C1" t="s">
        <v>1</v>
      </c>
      <c r="D1" t="s">
        <v>2</v>
      </c>
      <c r="E1" t="s">
        <v>3</v>
      </c>
      <c r="F1" t="s">
        <v>4</v>
      </c>
      <c r="G1" s="1" t="s">
        <v>5</v>
      </c>
      <c r="H1" s="1" t="s">
        <v>6</v>
      </c>
      <c r="I1" s="3" t="s">
        <v>7</v>
      </c>
      <c r="J1" s="3" t="s">
        <v>8</v>
      </c>
      <c r="K1" s="3" t="s">
        <v>9</v>
      </c>
      <c r="L1" s="1" t="s">
        <v>392</v>
      </c>
      <c r="M1" s="1" t="s">
        <v>393</v>
      </c>
      <c r="N1" s="1" t="s">
        <v>394</v>
      </c>
      <c r="O1" s="4" t="s">
        <v>396</v>
      </c>
      <c r="P1" s="1" t="s">
        <v>395</v>
      </c>
    </row>
    <row r="2" spans="1:19" x14ac:dyDescent="0.35">
      <c r="A2" t="s">
        <v>10</v>
      </c>
      <c r="B2" s="2" t="s">
        <v>11</v>
      </c>
      <c r="C2" t="s">
        <v>12</v>
      </c>
      <c r="D2" t="s">
        <v>13</v>
      </c>
      <c r="E2" t="s">
        <v>14</v>
      </c>
      <c r="F2" t="s">
        <v>15</v>
      </c>
      <c r="G2" s="1">
        <v>4</v>
      </c>
      <c r="H2" s="1">
        <v>600</v>
      </c>
      <c r="I2" s="3">
        <v>2400</v>
      </c>
      <c r="J2" s="3">
        <v>1720</v>
      </c>
      <c r="K2" s="3">
        <v>680</v>
      </c>
      <c r="L2" s="1" t="str">
        <f>TEXT(Sales_tbl[[#This Row],[Order_Date]],"mmm")</f>
        <v>Dec</v>
      </c>
      <c r="M2" s="1">
        <f>MONTH(Sales_tbl[[#This Row],[Order_Date]])</f>
        <v>12</v>
      </c>
      <c r="N2" s="1">
        <f>YEAR(Sales_tbl[[#This Row],[Order_Date]])</f>
        <v>2025</v>
      </c>
      <c r="O2" s="4">
        <f>IFERROR(Sales_tbl[[#This Row],[Profit]]/Sales_tbl[[#This Row],[Revenue]],0)</f>
        <v>0.28333333333333333</v>
      </c>
      <c r="P2" s="1" t="str">
        <f>IF(Sales_tbl[[#This Row],[Profit]]&gt;2000, "Yes", "No")</f>
        <v>No</v>
      </c>
    </row>
    <row r="3" spans="1:19" x14ac:dyDescent="0.35">
      <c r="A3" t="s">
        <v>16</v>
      </c>
      <c r="B3" s="2" t="s">
        <v>17</v>
      </c>
      <c r="C3" t="s">
        <v>18</v>
      </c>
      <c r="D3" t="s">
        <v>13</v>
      </c>
      <c r="E3" t="s">
        <v>19</v>
      </c>
      <c r="F3" t="s">
        <v>20</v>
      </c>
      <c r="G3" s="1">
        <v>2</v>
      </c>
      <c r="H3" s="1">
        <v>140</v>
      </c>
      <c r="I3" s="3">
        <v>280</v>
      </c>
      <c r="J3" s="3">
        <v>180</v>
      </c>
      <c r="K3" s="3">
        <v>100</v>
      </c>
      <c r="L3" s="1" t="str">
        <f>TEXT(Sales_tbl[[#This Row],[Order_Date]],"mmm")</f>
        <v>Jan</v>
      </c>
      <c r="M3" s="1">
        <f>MONTH(Sales_tbl[[#This Row],[Order_Date]])</f>
        <v>1</v>
      </c>
      <c r="N3" s="1">
        <f>YEAR(Sales_tbl[[#This Row],[Order_Date]])</f>
        <v>2025</v>
      </c>
      <c r="O3" s="4">
        <f>IFERROR(Sales_tbl[[#This Row],[Profit]]/Sales_tbl[[#This Row],[Revenue]],0)</f>
        <v>0.35714285714285715</v>
      </c>
      <c r="P3" s="1" t="str">
        <f>IF(Sales_tbl[[#This Row],[Profit]]&gt;2000, "Yes", "No")</f>
        <v>No</v>
      </c>
      <c r="R3" t="s">
        <v>397</v>
      </c>
      <c r="S3" s="3">
        <f>SUM(I:I)</f>
        <v>750830</v>
      </c>
    </row>
    <row r="4" spans="1:19" x14ac:dyDescent="0.35">
      <c r="A4" t="s">
        <v>21</v>
      </c>
      <c r="B4" s="2" t="s">
        <v>22</v>
      </c>
      <c r="C4" t="s">
        <v>23</v>
      </c>
      <c r="D4" t="s">
        <v>13</v>
      </c>
      <c r="E4" t="s">
        <v>19</v>
      </c>
      <c r="F4" t="s">
        <v>20</v>
      </c>
      <c r="G4" s="1">
        <v>8</v>
      </c>
      <c r="H4" s="1">
        <v>140</v>
      </c>
      <c r="I4" s="3">
        <v>1120</v>
      </c>
      <c r="J4" s="3">
        <v>720</v>
      </c>
      <c r="K4" s="3">
        <v>400</v>
      </c>
      <c r="L4" s="1" t="str">
        <f>TEXT(Sales_tbl[[#This Row],[Order_Date]],"mmm")</f>
        <v>May</v>
      </c>
      <c r="M4" s="1">
        <f>MONTH(Sales_tbl[[#This Row],[Order_Date]])</f>
        <v>5</v>
      </c>
      <c r="N4" s="1">
        <f>YEAR(Sales_tbl[[#This Row],[Order_Date]])</f>
        <v>2025</v>
      </c>
      <c r="O4" s="4">
        <f>IFERROR(Sales_tbl[[#This Row],[Profit]]/Sales_tbl[[#This Row],[Revenue]],0)</f>
        <v>0.35714285714285715</v>
      </c>
      <c r="P4" s="1" t="str">
        <f>IF(Sales_tbl[[#This Row],[Profit]]&gt;2000, "Yes", "No")</f>
        <v>No</v>
      </c>
      <c r="R4" t="s">
        <v>398</v>
      </c>
      <c r="S4" s="3">
        <f>SUM(K:K)</f>
        <v>210700</v>
      </c>
    </row>
    <row r="5" spans="1:19" x14ac:dyDescent="0.35">
      <c r="A5" t="s">
        <v>24</v>
      </c>
      <c r="B5" s="2" t="s">
        <v>25</v>
      </c>
      <c r="C5" t="s">
        <v>12</v>
      </c>
      <c r="D5" t="s">
        <v>26</v>
      </c>
      <c r="E5" t="s">
        <v>14</v>
      </c>
      <c r="F5" t="s">
        <v>15</v>
      </c>
      <c r="G5" s="1">
        <v>13</v>
      </c>
      <c r="H5" s="1">
        <v>600</v>
      </c>
      <c r="I5" s="3">
        <v>7800</v>
      </c>
      <c r="J5" s="3">
        <v>5590</v>
      </c>
      <c r="K5" s="3">
        <v>2210</v>
      </c>
      <c r="L5" s="1" t="str">
        <f>TEXT(Sales_tbl[[#This Row],[Order_Date]],"mmm")</f>
        <v>Jan</v>
      </c>
      <c r="M5" s="1">
        <f>MONTH(Sales_tbl[[#This Row],[Order_Date]])</f>
        <v>1</v>
      </c>
      <c r="N5" s="1">
        <f>YEAR(Sales_tbl[[#This Row],[Order_Date]])</f>
        <v>2025</v>
      </c>
      <c r="O5" s="4">
        <f>IFERROR(Sales_tbl[[#This Row],[Profit]]/Sales_tbl[[#This Row],[Revenue]],0)</f>
        <v>0.28333333333333333</v>
      </c>
      <c r="P5" s="1" t="str">
        <f>IF(Sales_tbl[[#This Row],[Profit]]&gt;2000, "Yes", "No")</f>
        <v>Yes</v>
      </c>
      <c r="R5" t="s">
        <v>399</v>
      </c>
      <c r="S5" s="3">
        <f>SUM(J:J)</f>
        <v>540130</v>
      </c>
    </row>
    <row r="6" spans="1:19" x14ac:dyDescent="0.35">
      <c r="A6" t="s">
        <v>27</v>
      </c>
      <c r="B6" s="2" t="s">
        <v>22</v>
      </c>
      <c r="C6" t="s">
        <v>23</v>
      </c>
      <c r="D6" t="s">
        <v>26</v>
      </c>
      <c r="E6" t="s">
        <v>28</v>
      </c>
      <c r="F6" t="s">
        <v>20</v>
      </c>
      <c r="G6" s="1">
        <v>10</v>
      </c>
      <c r="H6" s="1">
        <v>220</v>
      </c>
      <c r="I6" s="3">
        <v>2200</v>
      </c>
      <c r="J6" s="3">
        <v>1500</v>
      </c>
      <c r="K6" s="3">
        <v>700</v>
      </c>
      <c r="L6" s="1" t="str">
        <f>TEXT(Sales_tbl[[#This Row],[Order_Date]],"mmm")</f>
        <v>May</v>
      </c>
      <c r="M6" s="1">
        <f>MONTH(Sales_tbl[[#This Row],[Order_Date]])</f>
        <v>5</v>
      </c>
      <c r="N6" s="1">
        <f>YEAR(Sales_tbl[[#This Row],[Order_Date]])</f>
        <v>2025</v>
      </c>
      <c r="O6" s="4">
        <f>IFERROR(Sales_tbl[[#This Row],[Profit]]/Sales_tbl[[#This Row],[Revenue]],0)</f>
        <v>0.31818181818181818</v>
      </c>
      <c r="P6" s="1" t="str">
        <f>IF(Sales_tbl[[#This Row],[Profit]]&gt;2000, "Yes", "No")</f>
        <v>No</v>
      </c>
      <c r="R6" t="s">
        <v>400</v>
      </c>
      <c r="S6" s="3">
        <f>AVERAGE(I:I)</f>
        <v>3754.15</v>
      </c>
    </row>
    <row r="7" spans="1:19" x14ac:dyDescent="0.35">
      <c r="A7" t="s">
        <v>29</v>
      </c>
      <c r="B7" s="2" t="s">
        <v>30</v>
      </c>
      <c r="C7" t="s">
        <v>31</v>
      </c>
      <c r="D7" t="s">
        <v>32</v>
      </c>
      <c r="E7" t="s">
        <v>28</v>
      </c>
      <c r="F7" t="s">
        <v>20</v>
      </c>
      <c r="G7" s="1">
        <v>11</v>
      </c>
      <c r="H7" s="1">
        <v>220</v>
      </c>
      <c r="I7" s="3">
        <v>2420</v>
      </c>
      <c r="J7" s="3">
        <v>1650</v>
      </c>
      <c r="K7" s="3">
        <v>770</v>
      </c>
      <c r="L7" s="1" t="str">
        <f>TEXT(Sales_tbl[[#This Row],[Order_Date]],"mmm")</f>
        <v>Jan</v>
      </c>
      <c r="M7" s="1">
        <f>MONTH(Sales_tbl[[#This Row],[Order_Date]])</f>
        <v>1</v>
      </c>
      <c r="N7" s="1">
        <f>YEAR(Sales_tbl[[#This Row],[Order_Date]])</f>
        <v>2025</v>
      </c>
      <c r="O7" s="4">
        <f>IFERROR(Sales_tbl[[#This Row],[Profit]]/Sales_tbl[[#This Row],[Revenue]],0)</f>
        <v>0.31818181818181818</v>
      </c>
      <c r="P7" s="1" t="str">
        <f>IF(Sales_tbl[[#This Row],[Profit]]&gt;2000, "Yes", "No")</f>
        <v>No</v>
      </c>
      <c r="R7" t="s">
        <v>401</v>
      </c>
      <c r="S7">
        <f>COUNTA(A:A)</f>
        <v>201</v>
      </c>
    </row>
    <row r="8" spans="1:19" x14ac:dyDescent="0.35">
      <c r="A8" t="s">
        <v>33</v>
      </c>
      <c r="B8" s="2" t="s">
        <v>34</v>
      </c>
      <c r="C8" t="s">
        <v>12</v>
      </c>
      <c r="D8" t="s">
        <v>13</v>
      </c>
      <c r="E8" t="s">
        <v>35</v>
      </c>
      <c r="F8" t="s">
        <v>36</v>
      </c>
      <c r="G8" s="1">
        <v>12</v>
      </c>
      <c r="H8" s="1">
        <v>90</v>
      </c>
      <c r="I8" s="3">
        <v>1080</v>
      </c>
      <c r="J8" s="3">
        <v>600</v>
      </c>
      <c r="K8" s="3">
        <v>480</v>
      </c>
      <c r="L8" s="1" t="str">
        <f>TEXT(Sales_tbl[[#This Row],[Order_Date]],"mmm")</f>
        <v>May</v>
      </c>
      <c r="M8" s="1">
        <f>MONTH(Sales_tbl[[#This Row],[Order_Date]])</f>
        <v>5</v>
      </c>
      <c r="N8" s="1">
        <f>YEAR(Sales_tbl[[#This Row],[Order_Date]])</f>
        <v>2025</v>
      </c>
      <c r="O8" s="4">
        <f>IFERROR(Sales_tbl[[#This Row],[Profit]]/Sales_tbl[[#This Row],[Revenue]],0)</f>
        <v>0.44444444444444442</v>
      </c>
      <c r="P8" s="1" t="str">
        <f>IF(Sales_tbl[[#This Row],[Profit]]&gt;2000, "Yes", "No")</f>
        <v>No</v>
      </c>
    </row>
    <row r="9" spans="1:19" x14ac:dyDescent="0.35">
      <c r="A9" t="s">
        <v>37</v>
      </c>
      <c r="B9" s="2" t="s">
        <v>38</v>
      </c>
      <c r="C9" t="s">
        <v>31</v>
      </c>
      <c r="D9" t="s">
        <v>39</v>
      </c>
      <c r="E9" t="s">
        <v>35</v>
      </c>
      <c r="F9" t="s">
        <v>36</v>
      </c>
      <c r="G9" s="1">
        <v>11</v>
      </c>
      <c r="H9" s="1">
        <v>90</v>
      </c>
      <c r="I9" s="3">
        <v>990</v>
      </c>
      <c r="J9" s="3">
        <v>550</v>
      </c>
      <c r="K9" s="3">
        <v>440</v>
      </c>
      <c r="L9" s="1" t="str">
        <f>TEXT(Sales_tbl[[#This Row],[Order_Date]],"mmm")</f>
        <v>Jan</v>
      </c>
      <c r="M9" s="1">
        <f>MONTH(Sales_tbl[[#This Row],[Order_Date]])</f>
        <v>1</v>
      </c>
      <c r="N9" s="1">
        <f>YEAR(Sales_tbl[[#This Row],[Order_Date]])</f>
        <v>2025</v>
      </c>
      <c r="O9" s="4">
        <f>IFERROR(Sales_tbl[[#This Row],[Profit]]/Sales_tbl[[#This Row],[Revenue]],0)</f>
        <v>0.44444444444444442</v>
      </c>
      <c r="P9" s="1" t="str">
        <f>IF(Sales_tbl[[#This Row],[Profit]]&gt;2000, "Yes", "No")</f>
        <v>No</v>
      </c>
    </row>
    <row r="10" spans="1:19" x14ac:dyDescent="0.35">
      <c r="A10" t="s">
        <v>40</v>
      </c>
      <c r="B10" s="2" t="s">
        <v>41</v>
      </c>
      <c r="C10" t="s">
        <v>31</v>
      </c>
      <c r="D10" t="s">
        <v>13</v>
      </c>
      <c r="E10" t="s">
        <v>14</v>
      </c>
      <c r="F10" t="s">
        <v>15</v>
      </c>
      <c r="G10" s="1">
        <v>14</v>
      </c>
      <c r="H10" s="1">
        <v>600</v>
      </c>
      <c r="I10" s="3">
        <v>8400</v>
      </c>
      <c r="J10" s="3">
        <v>6020</v>
      </c>
      <c r="K10" s="3">
        <v>2380</v>
      </c>
      <c r="L10" s="1" t="str">
        <f>TEXT(Sales_tbl[[#This Row],[Order_Date]],"mmm")</f>
        <v>Sep</v>
      </c>
      <c r="M10" s="1">
        <f>MONTH(Sales_tbl[[#This Row],[Order_Date]])</f>
        <v>9</v>
      </c>
      <c r="N10" s="1">
        <f>YEAR(Sales_tbl[[#This Row],[Order_Date]])</f>
        <v>2025</v>
      </c>
      <c r="O10" s="4">
        <f>IFERROR(Sales_tbl[[#This Row],[Profit]]/Sales_tbl[[#This Row],[Revenue]],0)</f>
        <v>0.28333333333333333</v>
      </c>
      <c r="P10" s="1" t="str">
        <f>IF(Sales_tbl[[#This Row],[Profit]]&gt;2000, "Yes", "No")</f>
        <v>Yes</v>
      </c>
    </row>
    <row r="11" spans="1:19" x14ac:dyDescent="0.35">
      <c r="A11" t="s">
        <v>42</v>
      </c>
      <c r="B11" s="2" t="s">
        <v>43</v>
      </c>
      <c r="C11" t="s">
        <v>23</v>
      </c>
      <c r="D11" t="s">
        <v>13</v>
      </c>
      <c r="E11" t="s">
        <v>14</v>
      </c>
      <c r="F11" t="s">
        <v>15</v>
      </c>
      <c r="G11" s="1">
        <v>10</v>
      </c>
      <c r="H11" s="1">
        <v>600</v>
      </c>
      <c r="I11" s="3">
        <v>6000</v>
      </c>
      <c r="J11" s="3">
        <v>4300</v>
      </c>
      <c r="K11" s="3">
        <v>1700</v>
      </c>
      <c r="L11" s="1" t="str">
        <f>TEXT(Sales_tbl[[#This Row],[Order_Date]],"mmm")</f>
        <v>Oct</v>
      </c>
      <c r="M11" s="1">
        <f>MONTH(Sales_tbl[[#This Row],[Order_Date]])</f>
        <v>10</v>
      </c>
      <c r="N11" s="1">
        <f>YEAR(Sales_tbl[[#This Row],[Order_Date]])</f>
        <v>2025</v>
      </c>
      <c r="O11" s="4">
        <f>IFERROR(Sales_tbl[[#This Row],[Profit]]/Sales_tbl[[#This Row],[Revenue]],0)</f>
        <v>0.28333333333333333</v>
      </c>
      <c r="P11" s="1" t="str">
        <f>IF(Sales_tbl[[#This Row],[Profit]]&gt;2000, "Yes", "No")</f>
        <v>No</v>
      </c>
    </row>
    <row r="12" spans="1:19" x14ac:dyDescent="0.35">
      <c r="A12" t="s">
        <v>44</v>
      </c>
      <c r="B12" s="2" t="s">
        <v>45</v>
      </c>
      <c r="C12" t="s">
        <v>12</v>
      </c>
      <c r="D12" t="s">
        <v>26</v>
      </c>
      <c r="E12" t="s">
        <v>14</v>
      </c>
      <c r="F12" t="s">
        <v>15</v>
      </c>
      <c r="G12" s="1">
        <v>5</v>
      </c>
      <c r="H12" s="1">
        <v>600</v>
      </c>
      <c r="I12" s="3">
        <v>3000</v>
      </c>
      <c r="J12" s="3">
        <v>2150</v>
      </c>
      <c r="K12" s="3">
        <v>850</v>
      </c>
      <c r="L12" s="1" t="str">
        <f>TEXT(Sales_tbl[[#This Row],[Order_Date]],"mmm")</f>
        <v>Apr</v>
      </c>
      <c r="M12" s="1">
        <f>MONTH(Sales_tbl[[#This Row],[Order_Date]])</f>
        <v>4</v>
      </c>
      <c r="N12" s="1">
        <f>YEAR(Sales_tbl[[#This Row],[Order_Date]])</f>
        <v>2025</v>
      </c>
      <c r="O12" s="4">
        <f>IFERROR(Sales_tbl[[#This Row],[Profit]]/Sales_tbl[[#This Row],[Revenue]],0)</f>
        <v>0.28333333333333333</v>
      </c>
      <c r="P12" s="1" t="str">
        <f>IF(Sales_tbl[[#This Row],[Profit]]&gt;2000, "Yes", "No")</f>
        <v>No</v>
      </c>
    </row>
    <row r="13" spans="1:19" x14ac:dyDescent="0.35">
      <c r="A13" t="s">
        <v>46</v>
      </c>
      <c r="B13" s="2" t="s">
        <v>47</v>
      </c>
      <c r="C13" t="s">
        <v>23</v>
      </c>
      <c r="D13" t="s">
        <v>32</v>
      </c>
      <c r="E13" t="s">
        <v>35</v>
      </c>
      <c r="F13" t="s">
        <v>36</v>
      </c>
      <c r="G13" s="1">
        <v>17</v>
      </c>
      <c r="H13" s="1">
        <v>90</v>
      </c>
      <c r="I13" s="3">
        <v>1530</v>
      </c>
      <c r="J13" s="3">
        <v>850</v>
      </c>
      <c r="K13" s="3">
        <v>680</v>
      </c>
      <c r="L13" s="1" t="str">
        <f>TEXT(Sales_tbl[[#This Row],[Order_Date]],"mmm")</f>
        <v>Dec</v>
      </c>
      <c r="M13" s="1">
        <f>MONTH(Sales_tbl[[#This Row],[Order_Date]])</f>
        <v>12</v>
      </c>
      <c r="N13" s="1">
        <f>YEAR(Sales_tbl[[#This Row],[Order_Date]])</f>
        <v>2025</v>
      </c>
      <c r="O13" s="4">
        <f>IFERROR(Sales_tbl[[#This Row],[Profit]]/Sales_tbl[[#This Row],[Revenue]],0)</f>
        <v>0.44444444444444442</v>
      </c>
      <c r="P13" s="1" t="str">
        <f>IF(Sales_tbl[[#This Row],[Profit]]&gt;2000, "Yes", "No")</f>
        <v>No</v>
      </c>
    </row>
    <row r="14" spans="1:19" x14ac:dyDescent="0.35">
      <c r="A14" t="s">
        <v>48</v>
      </c>
      <c r="B14" s="2" t="s">
        <v>49</v>
      </c>
      <c r="C14" t="s">
        <v>23</v>
      </c>
      <c r="D14" t="s">
        <v>32</v>
      </c>
      <c r="E14" t="s">
        <v>14</v>
      </c>
      <c r="F14" t="s">
        <v>15</v>
      </c>
      <c r="G14" s="1">
        <v>1</v>
      </c>
      <c r="H14" s="1">
        <v>600</v>
      </c>
      <c r="I14" s="3">
        <v>600</v>
      </c>
      <c r="J14" s="3">
        <v>430</v>
      </c>
      <c r="K14" s="3">
        <v>170</v>
      </c>
      <c r="L14" s="1" t="str">
        <f>TEXT(Sales_tbl[[#This Row],[Order_Date]],"mmm")</f>
        <v>Dec</v>
      </c>
      <c r="M14" s="1">
        <f>MONTH(Sales_tbl[[#This Row],[Order_Date]])</f>
        <v>12</v>
      </c>
      <c r="N14" s="1">
        <f>YEAR(Sales_tbl[[#This Row],[Order_Date]])</f>
        <v>2025</v>
      </c>
      <c r="O14" s="4">
        <f>IFERROR(Sales_tbl[[#This Row],[Profit]]/Sales_tbl[[#This Row],[Revenue]],0)</f>
        <v>0.28333333333333333</v>
      </c>
      <c r="P14" s="1" t="str">
        <f>IF(Sales_tbl[[#This Row],[Profit]]&gt;2000, "Yes", "No")</f>
        <v>No</v>
      </c>
    </row>
    <row r="15" spans="1:19" x14ac:dyDescent="0.35">
      <c r="A15" t="s">
        <v>50</v>
      </c>
      <c r="B15" s="2" t="s">
        <v>51</v>
      </c>
      <c r="C15" t="s">
        <v>23</v>
      </c>
      <c r="D15" t="s">
        <v>13</v>
      </c>
      <c r="E15" t="s">
        <v>19</v>
      </c>
      <c r="F15" t="s">
        <v>20</v>
      </c>
      <c r="G15" s="1">
        <v>1</v>
      </c>
      <c r="H15" s="1">
        <v>140</v>
      </c>
      <c r="I15" s="3">
        <v>140</v>
      </c>
      <c r="J15" s="3">
        <v>90</v>
      </c>
      <c r="K15" s="3">
        <v>50</v>
      </c>
      <c r="L15" s="1" t="str">
        <f>TEXT(Sales_tbl[[#This Row],[Order_Date]],"mmm")</f>
        <v>Dec</v>
      </c>
      <c r="M15" s="1">
        <f>MONTH(Sales_tbl[[#This Row],[Order_Date]])</f>
        <v>12</v>
      </c>
      <c r="N15" s="1">
        <f>YEAR(Sales_tbl[[#This Row],[Order_Date]])</f>
        <v>2025</v>
      </c>
      <c r="O15" s="4">
        <f>IFERROR(Sales_tbl[[#This Row],[Profit]]/Sales_tbl[[#This Row],[Revenue]],0)</f>
        <v>0.35714285714285715</v>
      </c>
      <c r="P15" s="1" t="str">
        <f>IF(Sales_tbl[[#This Row],[Profit]]&gt;2000, "Yes", "No")</f>
        <v>No</v>
      </c>
    </row>
    <row r="16" spans="1:19" x14ac:dyDescent="0.35">
      <c r="A16" t="s">
        <v>52</v>
      </c>
      <c r="B16" s="2" t="s">
        <v>53</v>
      </c>
      <c r="C16" t="s">
        <v>12</v>
      </c>
      <c r="D16" t="s">
        <v>54</v>
      </c>
      <c r="E16" t="s">
        <v>35</v>
      </c>
      <c r="F16" t="s">
        <v>36</v>
      </c>
      <c r="G16" s="1">
        <v>11</v>
      </c>
      <c r="H16" s="1">
        <v>90</v>
      </c>
      <c r="I16" s="3">
        <v>990</v>
      </c>
      <c r="J16" s="3">
        <v>550</v>
      </c>
      <c r="K16" s="3">
        <v>440</v>
      </c>
      <c r="L16" s="1" t="str">
        <f>TEXT(Sales_tbl[[#This Row],[Order_Date]],"mmm")</f>
        <v>Dec</v>
      </c>
      <c r="M16" s="1">
        <f>MONTH(Sales_tbl[[#This Row],[Order_Date]])</f>
        <v>12</v>
      </c>
      <c r="N16" s="1">
        <f>YEAR(Sales_tbl[[#This Row],[Order_Date]])</f>
        <v>2025</v>
      </c>
      <c r="O16" s="4">
        <f>IFERROR(Sales_tbl[[#This Row],[Profit]]/Sales_tbl[[#This Row],[Revenue]],0)</f>
        <v>0.44444444444444442</v>
      </c>
      <c r="P16" s="1" t="str">
        <f>IF(Sales_tbl[[#This Row],[Profit]]&gt;2000, "Yes", "No")</f>
        <v>No</v>
      </c>
    </row>
    <row r="17" spans="1:16" x14ac:dyDescent="0.35">
      <c r="A17" t="s">
        <v>55</v>
      </c>
      <c r="B17" s="2" t="s">
        <v>56</v>
      </c>
      <c r="C17" t="s">
        <v>18</v>
      </c>
      <c r="D17" t="s">
        <v>32</v>
      </c>
      <c r="E17" t="s">
        <v>57</v>
      </c>
      <c r="F17" t="s">
        <v>15</v>
      </c>
      <c r="G17" s="1">
        <v>18</v>
      </c>
      <c r="H17" s="1">
        <v>300</v>
      </c>
      <c r="I17" s="3">
        <v>5400</v>
      </c>
      <c r="J17" s="3">
        <v>3960</v>
      </c>
      <c r="K17" s="3">
        <v>1440</v>
      </c>
      <c r="L17" s="1" t="str">
        <f>TEXT(Sales_tbl[[#This Row],[Order_Date]],"mmm")</f>
        <v>May</v>
      </c>
      <c r="M17" s="1">
        <f>MONTH(Sales_tbl[[#This Row],[Order_Date]])</f>
        <v>5</v>
      </c>
      <c r="N17" s="1">
        <f>YEAR(Sales_tbl[[#This Row],[Order_Date]])</f>
        <v>2025</v>
      </c>
      <c r="O17" s="4">
        <f>IFERROR(Sales_tbl[[#This Row],[Profit]]/Sales_tbl[[#This Row],[Revenue]],0)</f>
        <v>0.26666666666666666</v>
      </c>
      <c r="P17" s="1" t="str">
        <f>IF(Sales_tbl[[#This Row],[Profit]]&gt;2000, "Yes", "No")</f>
        <v>No</v>
      </c>
    </row>
    <row r="18" spans="1:16" x14ac:dyDescent="0.35">
      <c r="A18" t="s">
        <v>58</v>
      </c>
      <c r="B18" s="2" t="s">
        <v>59</v>
      </c>
      <c r="C18" t="s">
        <v>31</v>
      </c>
      <c r="D18" t="s">
        <v>60</v>
      </c>
      <c r="E18" t="s">
        <v>57</v>
      </c>
      <c r="F18" t="s">
        <v>15</v>
      </c>
      <c r="G18" s="1">
        <v>4</v>
      </c>
      <c r="H18" s="1">
        <v>300</v>
      </c>
      <c r="I18" s="3">
        <v>1200</v>
      </c>
      <c r="J18" s="3">
        <v>880</v>
      </c>
      <c r="K18" s="3">
        <v>320</v>
      </c>
      <c r="L18" s="1" t="str">
        <f>TEXT(Sales_tbl[[#This Row],[Order_Date]],"mmm")</f>
        <v>Feb</v>
      </c>
      <c r="M18" s="1">
        <f>MONTH(Sales_tbl[[#This Row],[Order_Date]])</f>
        <v>2</v>
      </c>
      <c r="N18" s="1">
        <f>YEAR(Sales_tbl[[#This Row],[Order_Date]])</f>
        <v>2025</v>
      </c>
      <c r="O18" s="4">
        <f>IFERROR(Sales_tbl[[#This Row],[Profit]]/Sales_tbl[[#This Row],[Revenue]],0)</f>
        <v>0.26666666666666666</v>
      </c>
      <c r="P18" s="1" t="str">
        <f>IF(Sales_tbl[[#This Row],[Profit]]&gt;2000, "Yes", "No")</f>
        <v>No</v>
      </c>
    </row>
    <row r="19" spans="1:16" x14ac:dyDescent="0.35">
      <c r="A19" t="s">
        <v>61</v>
      </c>
      <c r="B19" s="2" t="s">
        <v>62</v>
      </c>
      <c r="C19" t="s">
        <v>31</v>
      </c>
      <c r="D19" t="s">
        <v>39</v>
      </c>
      <c r="E19" t="s">
        <v>63</v>
      </c>
      <c r="F19" t="s">
        <v>15</v>
      </c>
      <c r="G19" s="1">
        <v>2</v>
      </c>
      <c r="H19" s="1">
        <v>850</v>
      </c>
      <c r="I19" s="3">
        <v>1700</v>
      </c>
      <c r="J19" s="3">
        <v>1300</v>
      </c>
      <c r="K19" s="3">
        <v>400</v>
      </c>
      <c r="L19" s="1" t="str">
        <f>TEXT(Sales_tbl[[#This Row],[Order_Date]],"mmm")</f>
        <v>Nov</v>
      </c>
      <c r="M19" s="1">
        <f>MONTH(Sales_tbl[[#This Row],[Order_Date]])</f>
        <v>11</v>
      </c>
      <c r="N19" s="1">
        <f>YEAR(Sales_tbl[[#This Row],[Order_Date]])</f>
        <v>2025</v>
      </c>
      <c r="O19" s="4">
        <f>IFERROR(Sales_tbl[[#This Row],[Profit]]/Sales_tbl[[#This Row],[Revenue]],0)</f>
        <v>0.23529411764705882</v>
      </c>
      <c r="P19" s="1" t="str">
        <f>IF(Sales_tbl[[#This Row],[Profit]]&gt;2000, "Yes", "No")</f>
        <v>No</v>
      </c>
    </row>
    <row r="20" spans="1:16" x14ac:dyDescent="0.35">
      <c r="A20" t="s">
        <v>64</v>
      </c>
      <c r="B20" s="2" t="s">
        <v>65</v>
      </c>
      <c r="C20" t="s">
        <v>31</v>
      </c>
      <c r="D20" t="s">
        <v>60</v>
      </c>
      <c r="E20" t="s">
        <v>63</v>
      </c>
      <c r="F20" t="s">
        <v>15</v>
      </c>
      <c r="G20" s="1">
        <v>1</v>
      </c>
      <c r="H20" s="1">
        <v>850</v>
      </c>
      <c r="I20" s="3">
        <v>850</v>
      </c>
      <c r="J20" s="3">
        <v>650</v>
      </c>
      <c r="K20" s="3">
        <v>200</v>
      </c>
      <c r="L20" s="1" t="str">
        <f>TEXT(Sales_tbl[[#This Row],[Order_Date]],"mmm")</f>
        <v>Jan</v>
      </c>
      <c r="M20" s="1">
        <f>MONTH(Sales_tbl[[#This Row],[Order_Date]])</f>
        <v>1</v>
      </c>
      <c r="N20" s="1">
        <f>YEAR(Sales_tbl[[#This Row],[Order_Date]])</f>
        <v>2025</v>
      </c>
      <c r="O20" s="4">
        <f>IFERROR(Sales_tbl[[#This Row],[Profit]]/Sales_tbl[[#This Row],[Revenue]],0)</f>
        <v>0.23529411764705882</v>
      </c>
      <c r="P20" s="1" t="str">
        <f>IF(Sales_tbl[[#This Row],[Profit]]&gt;2000, "Yes", "No")</f>
        <v>No</v>
      </c>
    </row>
    <row r="21" spans="1:16" x14ac:dyDescent="0.35">
      <c r="A21" t="s">
        <v>66</v>
      </c>
      <c r="B21" s="2" t="s">
        <v>67</v>
      </c>
      <c r="C21" t="s">
        <v>23</v>
      </c>
      <c r="D21" t="s">
        <v>54</v>
      </c>
      <c r="E21" t="s">
        <v>14</v>
      </c>
      <c r="F21" t="s">
        <v>15</v>
      </c>
      <c r="G21" s="1">
        <v>19</v>
      </c>
      <c r="H21" s="1">
        <v>600</v>
      </c>
      <c r="I21" s="3">
        <v>11400</v>
      </c>
      <c r="J21" s="3">
        <v>8170</v>
      </c>
      <c r="K21" s="3">
        <v>3230</v>
      </c>
      <c r="L21" s="1" t="str">
        <f>TEXT(Sales_tbl[[#This Row],[Order_Date]],"mmm")</f>
        <v>Jun</v>
      </c>
      <c r="M21" s="1">
        <f>MONTH(Sales_tbl[[#This Row],[Order_Date]])</f>
        <v>6</v>
      </c>
      <c r="N21" s="1">
        <f>YEAR(Sales_tbl[[#This Row],[Order_Date]])</f>
        <v>2025</v>
      </c>
      <c r="O21" s="4">
        <f>IFERROR(Sales_tbl[[#This Row],[Profit]]/Sales_tbl[[#This Row],[Revenue]],0)</f>
        <v>0.28333333333333333</v>
      </c>
      <c r="P21" s="1" t="str">
        <f>IF(Sales_tbl[[#This Row],[Profit]]&gt;2000, "Yes", "No")</f>
        <v>Yes</v>
      </c>
    </row>
    <row r="22" spans="1:16" x14ac:dyDescent="0.35">
      <c r="A22" t="s">
        <v>68</v>
      </c>
      <c r="B22" s="2" t="s">
        <v>69</v>
      </c>
      <c r="C22" t="s">
        <v>23</v>
      </c>
      <c r="D22" t="s">
        <v>32</v>
      </c>
      <c r="E22" t="s">
        <v>14</v>
      </c>
      <c r="F22" t="s">
        <v>15</v>
      </c>
      <c r="G22" s="1">
        <v>8</v>
      </c>
      <c r="H22" s="1">
        <v>600</v>
      </c>
      <c r="I22" s="3">
        <v>4800</v>
      </c>
      <c r="J22" s="3">
        <v>3440</v>
      </c>
      <c r="K22" s="3">
        <v>1360</v>
      </c>
      <c r="L22" s="1" t="str">
        <f>TEXT(Sales_tbl[[#This Row],[Order_Date]],"mmm")</f>
        <v>Oct</v>
      </c>
      <c r="M22" s="1">
        <f>MONTH(Sales_tbl[[#This Row],[Order_Date]])</f>
        <v>10</v>
      </c>
      <c r="N22" s="1">
        <f>YEAR(Sales_tbl[[#This Row],[Order_Date]])</f>
        <v>2025</v>
      </c>
      <c r="O22" s="4">
        <f>IFERROR(Sales_tbl[[#This Row],[Profit]]/Sales_tbl[[#This Row],[Revenue]],0)</f>
        <v>0.28333333333333333</v>
      </c>
      <c r="P22" s="1" t="str">
        <f>IF(Sales_tbl[[#This Row],[Profit]]&gt;2000, "Yes", "No")</f>
        <v>No</v>
      </c>
    </row>
    <row r="23" spans="1:16" x14ac:dyDescent="0.35">
      <c r="A23" t="s">
        <v>70</v>
      </c>
      <c r="B23" s="2" t="s">
        <v>71</v>
      </c>
      <c r="C23" t="s">
        <v>31</v>
      </c>
      <c r="D23" t="s">
        <v>13</v>
      </c>
      <c r="E23" t="s">
        <v>28</v>
      </c>
      <c r="F23" t="s">
        <v>20</v>
      </c>
      <c r="G23" s="1">
        <v>9</v>
      </c>
      <c r="H23" s="1">
        <v>220</v>
      </c>
      <c r="I23" s="3">
        <v>1980</v>
      </c>
      <c r="J23" s="3">
        <v>1350</v>
      </c>
      <c r="K23" s="3">
        <v>630</v>
      </c>
      <c r="L23" s="1" t="str">
        <f>TEXT(Sales_tbl[[#This Row],[Order_Date]],"mmm")</f>
        <v>Apr</v>
      </c>
      <c r="M23" s="1">
        <f>MONTH(Sales_tbl[[#This Row],[Order_Date]])</f>
        <v>4</v>
      </c>
      <c r="N23" s="1">
        <f>YEAR(Sales_tbl[[#This Row],[Order_Date]])</f>
        <v>2025</v>
      </c>
      <c r="O23" s="4">
        <f>IFERROR(Sales_tbl[[#This Row],[Profit]]/Sales_tbl[[#This Row],[Revenue]],0)</f>
        <v>0.31818181818181818</v>
      </c>
      <c r="P23" s="1" t="str">
        <f>IF(Sales_tbl[[#This Row],[Profit]]&gt;2000, "Yes", "No")</f>
        <v>No</v>
      </c>
    </row>
    <row r="24" spans="1:16" x14ac:dyDescent="0.35">
      <c r="A24" t="s">
        <v>72</v>
      </c>
      <c r="B24" s="2" t="s">
        <v>73</v>
      </c>
      <c r="C24" t="s">
        <v>31</v>
      </c>
      <c r="D24" t="s">
        <v>32</v>
      </c>
      <c r="E24" t="s">
        <v>63</v>
      </c>
      <c r="F24" t="s">
        <v>15</v>
      </c>
      <c r="G24" s="1">
        <v>17</v>
      </c>
      <c r="H24" s="1">
        <v>850</v>
      </c>
      <c r="I24" s="3">
        <v>14450</v>
      </c>
      <c r="J24" s="3">
        <v>11050</v>
      </c>
      <c r="K24" s="3">
        <v>3400</v>
      </c>
      <c r="L24" s="1" t="str">
        <f>TEXT(Sales_tbl[[#This Row],[Order_Date]],"mmm")</f>
        <v>Oct</v>
      </c>
      <c r="M24" s="1">
        <f>MONTH(Sales_tbl[[#This Row],[Order_Date]])</f>
        <v>10</v>
      </c>
      <c r="N24" s="1">
        <f>YEAR(Sales_tbl[[#This Row],[Order_Date]])</f>
        <v>2025</v>
      </c>
      <c r="O24" s="4">
        <f>IFERROR(Sales_tbl[[#This Row],[Profit]]/Sales_tbl[[#This Row],[Revenue]],0)</f>
        <v>0.23529411764705882</v>
      </c>
      <c r="P24" s="1" t="str">
        <f>IF(Sales_tbl[[#This Row],[Profit]]&gt;2000, "Yes", "No")</f>
        <v>Yes</v>
      </c>
    </row>
    <row r="25" spans="1:16" x14ac:dyDescent="0.35">
      <c r="A25" t="s">
        <v>74</v>
      </c>
      <c r="B25" s="2" t="s">
        <v>75</v>
      </c>
      <c r="C25" t="s">
        <v>23</v>
      </c>
      <c r="D25" t="s">
        <v>13</v>
      </c>
      <c r="E25" t="s">
        <v>19</v>
      </c>
      <c r="F25" t="s">
        <v>20</v>
      </c>
      <c r="G25" s="1">
        <v>14</v>
      </c>
      <c r="H25" s="1">
        <v>140</v>
      </c>
      <c r="I25" s="3">
        <v>1960</v>
      </c>
      <c r="J25" s="3">
        <v>1260</v>
      </c>
      <c r="K25" s="3">
        <v>700</v>
      </c>
      <c r="L25" s="1" t="str">
        <f>TEXT(Sales_tbl[[#This Row],[Order_Date]],"mmm")</f>
        <v>Feb</v>
      </c>
      <c r="M25" s="1">
        <f>MONTH(Sales_tbl[[#This Row],[Order_Date]])</f>
        <v>2</v>
      </c>
      <c r="N25" s="1">
        <f>YEAR(Sales_tbl[[#This Row],[Order_Date]])</f>
        <v>2025</v>
      </c>
      <c r="O25" s="4">
        <f>IFERROR(Sales_tbl[[#This Row],[Profit]]/Sales_tbl[[#This Row],[Revenue]],0)</f>
        <v>0.35714285714285715</v>
      </c>
      <c r="P25" s="1" t="str">
        <f>IF(Sales_tbl[[#This Row],[Profit]]&gt;2000, "Yes", "No")</f>
        <v>No</v>
      </c>
    </row>
    <row r="26" spans="1:16" x14ac:dyDescent="0.35">
      <c r="A26" t="s">
        <v>76</v>
      </c>
      <c r="B26" s="2" t="s">
        <v>77</v>
      </c>
      <c r="C26" t="s">
        <v>23</v>
      </c>
      <c r="D26" t="s">
        <v>60</v>
      </c>
      <c r="E26" t="s">
        <v>35</v>
      </c>
      <c r="F26" t="s">
        <v>36</v>
      </c>
      <c r="G26" s="1">
        <v>7</v>
      </c>
      <c r="H26" s="1">
        <v>90</v>
      </c>
      <c r="I26" s="3">
        <v>630</v>
      </c>
      <c r="J26" s="3">
        <v>350</v>
      </c>
      <c r="K26" s="3">
        <v>280</v>
      </c>
      <c r="L26" s="1" t="str">
        <f>TEXT(Sales_tbl[[#This Row],[Order_Date]],"mmm")</f>
        <v>Jan</v>
      </c>
      <c r="M26" s="1">
        <f>MONTH(Sales_tbl[[#This Row],[Order_Date]])</f>
        <v>1</v>
      </c>
      <c r="N26" s="1">
        <f>YEAR(Sales_tbl[[#This Row],[Order_Date]])</f>
        <v>2025</v>
      </c>
      <c r="O26" s="4">
        <f>IFERROR(Sales_tbl[[#This Row],[Profit]]/Sales_tbl[[#This Row],[Revenue]],0)</f>
        <v>0.44444444444444442</v>
      </c>
      <c r="P26" s="1" t="str">
        <f>IF(Sales_tbl[[#This Row],[Profit]]&gt;2000, "Yes", "No")</f>
        <v>No</v>
      </c>
    </row>
    <row r="27" spans="1:16" x14ac:dyDescent="0.35">
      <c r="A27" t="s">
        <v>78</v>
      </c>
      <c r="B27" s="2" t="s">
        <v>79</v>
      </c>
      <c r="C27" t="s">
        <v>31</v>
      </c>
      <c r="D27" t="s">
        <v>60</v>
      </c>
      <c r="E27" t="s">
        <v>35</v>
      </c>
      <c r="F27" t="s">
        <v>36</v>
      </c>
      <c r="G27" s="1">
        <v>12</v>
      </c>
      <c r="H27" s="1">
        <v>90</v>
      </c>
      <c r="I27" s="3">
        <v>1080</v>
      </c>
      <c r="J27" s="3">
        <v>600</v>
      </c>
      <c r="K27" s="3">
        <v>480</v>
      </c>
      <c r="L27" s="1" t="str">
        <f>TEXT(Sales_tbl[[#This Row],[Order_Date]],"mmm")</f>
        <v>Feb</v>
      </c>
      <c r="M27" s="1">
        <f>MONTH(Sales_tbl[[#This Row],[Order_Date]])</f>
        <v>2</v>
      </c>
      <c r="N27" s="1">
        <f>YEAR(Sales_tbl[[#This Row],[Order_Date]])</f>
        <v>2025</v>
      </c>
      <c r="O27" s="4">
        <f>IFERROR(Sales_tbl[[#This Row],[Profit]]/Sales_tbl[[#This Row],[Revenue]],0)</f>
        <v>0.44444444444444442</v>
      </c>
      <c r="P27" s="1" t="str">
        <f>IF(Sales_tbl[[#This Row],[Profit]]&gt;2000, "Yes", "No")</f>
        <v>No</v>
      </c>
    </row>
    <row r="28" spans="1:16" x14ac:dyDescent="0.35">
      <c r="A28" t="s">
        <v>80</v>
      </c>
      <c r="B28" s="2" t="s">
        <v>81</v>
      </c>
      <c r="C28" t="s">
        <v>18</v>
      </c>
      <c r="D28" t="s">
        <v>39</v>
      </c>
      <c r="E28" t="s">
        <v>28</v>
      </c>
      <c r="F28" t="s">
        <v>20</v>
      </c>
      <c r="G28" s="1">
        <v>9</v>
      </c>
      <c r="H28" s="1">
        <v>220</v>
      </c>
      <c r="I28" s="3">
        <v>1980</v>
      </c>
      <c r="J28" s="3">
        <v>1350</v>
      </c>
      <c r="K28" s="3">
        <v>630</v>
      </c>
      <c r="L28" s="1" t="str">
        <f>TEXT(Sales_tbl[[#This Row],[Order_Date]],"mmm")</f>
        <v>Sep</v>
      </c>
      <c r="M28" s="1">
        <f>MONTH(Sales_tbl[[#This Row],[Order_Date]])</f>
        <v>9</v>
      </c>
      <c r="N28" s="1">
        <f>YEAR(Sales_tbl[[#This Row],[Order_Date]])</f>
        <v>2025</v>
      </c>
      <c r="O28" s="4">
        <f>IFERROR(Sales_tbl[[#This Row],[Profit]]/Sales_tbl[[#This Row],[Revenue]],0)</f>
        <v>0.31818181818181818</v>
      </c>
      <c r="P28" s="1" t="str">
        <f>IF(Sales_tbl[[#This Row],[Profit]]&gt;2000, "Yes", "No")</f>
        <v>No</v>
      </c>
    </row>
    <row r="29" spans="1:16" x14ac:dyDescent="0.35">
      <c r="A29" t="s">
        <v>82</v>
      </c>
      <c r="B29" s="2" t="s">
        <v>69</v>
      </c>
      <c r="C29" t="s">
        <v>23</v>
      </c>
      <c r="D29" t="s">
        <v>32</v>
      </c>
      <c r="E29" t="s">
        <v>63</v>
      </c>
      <c r="F29" t="s">
        <v>15</v>
      </c>
      <c r="G29" s="1">
        <v>4</v>
      </c>
      <c r="H29" s="1">
        <v>850</v>
      </c>
      <c r="I29" s="3">
        <v>3400</v>
      </c>
      <c r="J29" s="3">
        <v>2600</v>
      </c>
      <c r="K29" s="3">
        <v>800</v>
      </c>
      <c r="L29" s="1" t="str">
        <f>TEXT(Sales_tbl[[#This Row],[Order_Date]],"mmm")</f>
        <v>Oct</v>
      </c>
      <c r="M29" s="1">
        <f>MONTH(Sales_tbl[[#This Row],[Order_Date]])</f>
        <v>10</v>
      </c>
      <c r="N29" s="1">
        <f>YEAR(Sales_tbl[[#This Row],[Order_Date]])</f>
        <v>2025</v>
      </c>
      <c r="O29" s="4">
        <f>IFERROR(Sales_tbl[[#This Row],[Profit]]/Sales_tbl[[#This Row],[Revenue]],0)</f>
        <v>0.23529411764705882</v>
      </c>
      <c r="P29" s="1" t="str">
        <f>IF(Sales_tbl[[#This Row],[Profit]]&gt;2000, "Yes", "No")</f>
        <v>No</v>
      </c>
    </row>
    <row r="30" spans="1:16" x14ac:dyDescent="0.35">
      <c r="A30" t="s">
        <v>83</v>
      </c>
      <c r="B30" s="2" t="s">
        <v>84</v>
      </c>
      <c r="C30" t="s">
        <v>18</v>
      </c>
      <c r="D30" t="s">
        <v>39</v>
      </c>
      <c r="E30" t="s">
        <v>19</v>
      </c>
      <c r="F30" t="s">
        <v>20</v>
      </c>
      <c r="G30" s="1">
        <v>15</v>
      </c>
      <c r="H30" s="1">
        <v>140</v>
      </c>
      <c r="I30" s="3">
        <v>2100</v>
      </c>
      <c r="J30" s="3">
        <v>1350</v>
      </c>
      <c r="K30" s="3">
        <v>750</v>
      </c>
      <c r="L30" s="1" t="str">
        <f>TEXT(Sales_tbl[[#This Row],[Order_Date]],"mmm")</f>
        <v>May</v>
      </c>
      <c r="M30" s="1">
        <f>MONTH(Sales_tbl[[#This Row],[Order_Date]])</f>
        <v>5</v>
      </c>
      <c r="N30" s="1">
        <f>YEAR(Sales_tbl[[#This Row],[Order_Date]])</f>
        <v>2025</v>
      </c>
      <c r="O30" s="4">
        <f>IFERROR(Sales_tbl[[#This Row],[Profit]]/Sales_tbl[[#This Row],[Revenue]],0)</f>
        <v>0.35714285714285715</v>
      </c>
      <c r="P30" s="1" t="str">
        <f>IF(Sales_tbl[[#This Row],[Profit]]&gt;2000, "Yes", "No")</f>
        <v>No</v>
      </c>
    </row>
    <row r="31" spans="1:16" x14ac:dyDescent="0.35">
      <c r="A31" t="s">
        <v>85</v>
      </c>
      <c r="B31" s="2" t="s">
        <v>56</v>
      </c>
      <c r="C31" t="s">
        <v>18</v>
      </c>
      <c r="D31" t="s">
        <v>39</v>
      </c>
      <c r="E31" t="s">
        <v>28</v>
      </c>
      <c r="F31" t="s">
        <v>20</v>
      </c>
      <c r="G31" s="1">
        <v>19</v>
      </c>
      <c r="H31" s="1">
        <v>220</v>
      </c>
      <c r="I31" s="3">
        <v>4180</v>
      </c>
      <c r="J31" s="3">
        <v>2850</v>
      </c>
      <c r="K31" s="3">
        <v>1330</v>
      </c>
      <c r="L31" s="1" t="str">
        <f>TEXT(Sales_tbl[[#This Row],[Order_Date]],"mmm")</f>
        <v>May</v>
      </c>
      <c r="M31" s="1">
        <f>MONTH(Sales_tbl[[#This Row],[Order_Date]])</f>
        <v>5</v>
      </c>
      <c r="N31" s="1">
        <f>YEAR(Sales_tbl[[#This Row],[Order_Date]])</f>
        <v>2025</v>
      </c>
      <c r="O31" s="4">
        <f>IFERROR(Sales_tbl[[#This Row],[Profit]]/Sales_tbl[[#This Row],[Revenue]],0)</f>
        <v>0.31818181818181818</v>
      </c>
      <c r="P31" s="1" t="str">
        <f>IF(Sales_tbl[[#This Row],[Profit]]&gt;2000, "Yes", "No")</f>
        <v>No</v>
      </c>
    </row>
    <row r="32" spans="1:16" x14ac:dyDescent="0.35">
      <c r="A32" t="s">
        <v>86</v>
      </c>
      <c r="B32" s="2" t="s">
        <v>87</v>
      </c>
      <c r="C32" t="s">
        <v>23</v>
      </c>
      <c r="D32" t="s">
        <v>32</v>
      </c>
      <c r="E32" t="s">
        <v>57</v>
      </c>
      <c r="F32" t="s">
        <v>15</v>
      </c>
      <c r="G32" s="1">
        <v>14</v>
      </c>
      <c r="H32" s="1">
        <v>300</v>
      </c>
      <c r="I32" s="3">
        <v>4200</v>
      </c>
      <c r="J32" s="3">
        <v>3080</v>
      </c>
      <c r="K32" s="3">
        <v>1120</v>
      </c>
      <c r="L32" s="1" t="str">
        <f>TEXT(Sales_tbl[[#This Row],[Order_Date]],"mmm")</f>
        <v>Dec</v>
      </c>
      <c r="M32" s="1">
        <f>MONTH(Sales_tbl[[#This Row],[Order_Date]])</f>
        <v>12</v>
      </c>
      <c r="N32" s="1">
        <f>YEAR(Sales_tbl[[#This Row],[Order_Date]])</f>
        <v>2025</v>
      </c>
      <c r="O32" s="4">
        <f>IFERROR(Sales_tbl[[#This Row],[Profit]]/Sales_tbl[[#This Row],[Revenue]],0)</f>
        <v>0.26666666666666666</v>
      </c>
      <c r="P32" s="1" t="str">
        <f>IF(Sales_tbl[[#This Row],[Profit]]&gt;2000, "Yes", "No")</f>
        <v>No</v>
      </c>
    </row>
    <row r="33" spans="1:16" x14ac:dyDescent="0.35">
      <c r="A33" t="s">
        <v>88</v>
      </c>
      <c r="B33" s="2" t="s">
        <v>89</v>
      </c>
      <c r="C33" t="s">
        <v>18</v>
      </c>
      <c r="D33" t="s">
        <v>60</v>
      </c>
      <c r="E33" t="s">
        <v>57</v>
      </c>
      <c r="F33" t="s">
        <v>15</v>
      </c>
      <c r="G33" s="1">
        <v>11</v>
      </c>
      <c r="H33" s="1">
        <v>300</v>
      </c>
      <c r="I33" s="3">
        <v>3300</v>
      </c>
      <c r="J33" s="3">
        <v>2420</v>
      </c>
      <c r="K33" s="3">
        <v>880</v>
      </c>
      <c r="L33" s="1" t="str">
        <f>TEXT(Sales_tbl[[#This Row],[Order_Date]],"mmm")</f>
        <v>Jun</v>
      </c>
      <c r="M33" s="1">
        <f>MONTH(Sales_tbl[[#This Row],[Order_Date]])</f>
        <v>6</v>
      </c>
      <c r="N33" s="1">
        <f>YEAR(Sales_tbl[[#This Row],[Order_Date]])</f>
        <v>2025</v>
      </c>
      <c r="O33" s="4">
        <f>IFERROR(Sales_tbl[[#This Row],[Profit]]/Sales_tbl[[#This Row],[Revenue]],0)</f>
        <v>0.26666666666666666</v>
      </c>
      <c r="P33" s="1" t="str">
        <f>IF(Sales_tbl[[#This Row],[Profit]]&gt;2000, "Yes", "No")</f>
        <v>No</v>
      </c>
    </row>
    <row r="34" spans="1:16" x14ac:dyDescent="0.35">
      <c r="A34" t="s">
        <v>90</v>
      </c>
      <c r="B34" s="2" t="s">
        <v>91</v>
      </c>
      <c r="C34" t="s">
        <v>12</v>
      </c>
      <c r="D34" t="s">
        <v>32</v>
      </c>
      <c r="E34" t="s">
        <v>63</v>
      </c>
      <c r="F34" t="s">
        <v>15</v>
      </c>
      <c r="G34" s="1">
        <v>16</v>
      </c>
      <c r="H34" s="1">
        <v>850</v>
      </c>
      <c r="I34" s="3">
        <v>13600</v>
      </c>
      <c r="J34" s="3">
        <v>10400</v>
      </c>
      <c r="K34" s="3">
        <v>3200</v>
      </c>
      <c r="L34" s="1" t="str">
        <f>TEXT(Sales_tbl[[#This Row],[Order_Date]],"mmm")</f>
        <v>Sep</v>
      </c>
      <c r="M34" s="1">
        <f>MONTH(Sales_tbl[[#This Row],[Order_Date]])</f>
        <v>9</v>
      </c>
      <c r="N34" s="1">
        <f>YEAR(Sales_tbl[[#This Row],[Order_Date]])</f>
        <v>2025</v>
      </c>
      <c r="O34" s="4">
        <f>IFERROR(Sales_tbl[[#This Row],[Profit]]/Sales_tbl[[#This Row],[Revenue]],0)</f>
        <v>0.23529411764705882</v>
      </c>
      <c r="P34" s="1" t="str">
        <f>IF(Sales_tbl[[#This Row],[Profit]]&gt;2000, "Yes", "No")</f>
        <v>Yes</v>
      </c>
    </row>
    <row r="35" spans="1:16" x14ac:dyDescent="0.35">
      <c r="A35" t="s">
        <v>92</v>
      </c>
      <c r="B35" s="2" t="s">
        <v>93</v>
      </c>
      <c r="C35" t="s">
        <v>23</v>
      </c>
      <c r="D35" t="s">
        <v>60</v>
      </c>
      <c r="E35" t="s">
        <v>35</v>
      </c>
      <c r="F35" t="s">
        <v>36</v>
      </c>
      <c r="G35" s="1">
        <v>20</v>
      </c>
      <c r="H35" s="1">
        <v>90</v>
      </c>
      <c r="I35" s="3">
        <v>1800</v>
      </c>
      <c r="J35" s="3">
        <v>1000</v>
      </c>
      <c r="K35" s="3">
        <v>800</v>
      </c>
      <c r="L35" s="1" t="str">
        <f>TEXT(Sales_tbl[[#This Row],[Order_Date]],"mmm")</f>
        <v>Oct</v>
      </c>
      <c r="M35" s="1">
        <f>MONTH(Sales_tbl[[#This Row],[Order_Date]])</f>
        <v>10</v>
      </c>
      <c r="N35" s="1">
        <f>YEAR(Sales_tbl[[#This Row],[Order_Date]])</f>
        <v>2025</v>
      </c>
      <c r="O35" s="4">
        <f>IFERROR(Sales_tbl[[#This Row],[Profit]]/Sales_tbl[[#This Row],[Revenue]],0)</f>
        <v>0.44444444444444442</v>
      </c>
      <c r="P35" s="1" t="str">
        <f>IF(Sales_tbl[[#This Row],[Profit]]&gt;2000, "Yes", "No")</f>
        <v>No</v>
      </c>
    </row>
    <row r="36" spans="1:16" x14ac:dyDescent="0.35">
      <c r="A36" t="s">
        <v>94</v>
      </c>
      <c r="B36" s="2" t="s">
        <v>77</v>
      </c>
      <c r="C36" t="s">
        <v>23</v>
      </c>
      <c r="D36" t="s">
        <v>60</v>
      </c>
      <c r="E36" t="s">
        <v>35</v>
      </c>
      <c r="F36" t="s">
        <v>36</v>
      </c>
      <c r="G36" s="1">
        <v>1</v>
      </c>
      <c r="H36" s="1">
        <v>90</v>
      </c>
      <c r="I36" s="3">
        <v>90</v>
      </c>
      <c r="J36" s="3">
        <v>50</v>
      </c>
      <c r="K36" s="3">
        <v>40</v>
      </c>
      <c r="L36" s="1" t="str">
        <f>TEXT(Sales_tbl[[#This Row],[Order_Date]],"mmm")</f>
        <v>Jan</v>
      </c>
      <c r="M36" s="1">
        <f>MONTH(Sales_tbl[[#This Row],[Order_Date]])</f>
        <v>1</v>
      </c>
      <c r="N36" s="1">
        <f>YEAR(Sales_tbl[[#This Row],[Order_Date]])</f>
        <v>2025</v>
      </c>
      <c r="O36" s="4">
        <f>IFERROR(Sales_tbl[[#This Row],[Profit]]/Sales_tbl[[#This Row],[Revenue]],0)</f>
        <v>0.44444444444444442</v>
      </c>
      <c r="P36" s="1" t="str">
        <f>IF(Sales_tbl[[#This Row],[Profit]]&gt;2000, "Yes", "No")</f>
        <v>No</v>
      </c>
    </row>
    <row r="37" spans="1:16" x14ac:dyDescent="0.35">
      <c r="A37" t="s">
        <v>95</v>
      </c>
      <c r="B37" s="2" t="s">
        <v>96</v>
      </c>
      <c r="C37" t="s">
        <v>31</v>
      </c>
      <c r="D37" t="s">
        <v>26</v>
      </c>
      <c r="E37" t="s">
        <v>14</v>
      </c>
      <c r="F37" t="s">
        <v>15</v>
      </c>
      <c r="G37" s="1">
        <v>1</v>
      </c>
      <c r="H37" s="1">
        <v>600</v>
      </c>
      <c r="I37" s="3">
        <v>600</v>
      </c>
      <c r="J37" s="3">
        <v>430</v>
      </c>
      <c r="K37" s="3">
        <v>170</v>
      </c>
      <c r="L37" s="1" t="str">
        <f>TEXT(Sales_tbl[[#This Row],[Order_Date]],"mmm")</f>
        <v>May</v>
      </c>
      <c r="M37" s="1">
        <f>MONTH(Sales_tbl[[#This Row],[Order_Date]])</f>
        <v>5</v>
      </c>
      <c r="N37" s="1">
        <f>YEAR(Sales_tbl[[#This Row],[Order_Date]])</f>
        <v>2025</v>
      </c>
      <c r="O37" s="4">
        <f>IFERROR(Sales_tbl[[#This Row],[Profit]]/Sales_tbl[[#This Row],[Revenue]],0)</f>
        <v>0.28333333333333333</v>
      </c>
      <c r="P37" s="1" t="str">
        <f>IF(Sales_tbl[[#This Row],[Profit]]&gt;2000, "Yes", "No")</f>
        <v>No</v>
      </c>
    </row>
    <row r="38" spans="1:16" x14ac:dyDescent="0.35">
      <c r="A38" t="s">
        <v>97</v>
      </c>
      <c r="B38" s="2" t="s">
        <v>98</v>
      </c>
      <c r="C38" t="s">
        <v>23</v>
      </c>
      <c r="D38" t="s">
        <v>39</v>
      </c>
      <c r="E38" t="s">
        <v>63</v>
      </c>
      <c r="F38" t="s">
        <v>15</v>
      </c>
      <c r="G38" s="1">
        <v>11</v>
      </c>
      <c r="H38" s="1">
        <v>850</v>
      </c>
      <c r="I38" s="3">
        <v>9350</v>
      </c>
      <c r="J38" s="3">
        <v>7150</v>
      </c>
      <c r="K38" s="3">
        <v>2200</v>
      </c>
      <c r="L38" s="1" t="str">
        <f>TEXT(Sales_tbl[[#This Row],[Order_Date]],"mmm")</f>
        <v>Aug</v>
      </c>
      <c r="M38" s="1">
        <f>MONTH(Sales_tbl[[#This Row],[Order_Date]])</f>
        <v>8</v>
      </c>
      <c r="N38" s="1">
        <f>YEAR(Sales_tbl[[#This Row],[Order_Date]])</f>
        <v>2025</v>
      </c>
      <c r="O38" s="4">
        <f>IFERROR(Sales_tbl[[#This Row],[Profit]]/Sales_tbl[[#This Row],[Revenue]],0)</f>
        <v>0.23529411764705882</v>
      </c>
      <c r="P38" s="1" t="str">
        <f>IF(Sales_tbl[[#This Row],[Profit]]&gt;2000, "Yes", "No")</f>
        <v>Yes</v>
      </c>
    </row>
    <row r="39" spans="1:16" x14ac:dyDescent="0.35">
      <c r="A39" t="s">
        <v>99</v>
      </c>
      <c r="B39" s="2" t="s">
        <v>100</v>
      </c>
      <c r="C39" t="s">
        <v>31</v>
      </c>
      <c r="D39" t="s">
        <v>32</v>
      </c>
      <c r="E39" t="s">
        <v>35</v>
      </c>
      <c r="F39" t="s">
        <v>36</v>
      </c>
      <c r="G39" s="1">
        <v>15</v>
      </c>
      <c r="H39" s="1">
        <v>90</v>
      </c>
      <c r="I39" s="3">
        <v>1350</v>
      </c>
      <c r="J39" s="3">
        <v>750</v>
      </c>
      <c r="K39" s="3">
        <v>600</v>
      </c>
      <c r="L39" s="1" t="str">
        <f>TEXT(Sales_tbl[[#This Row],[Order_Date]],"mmm")</f>
        <v>Nov</v>
      </c>
      <c r="M39" s="1">
        <f>MONTH(Sales_tbl[[#This Row],[Order_Date]])</f>
        <v>11</v>
      </c>
      <c r="N39" s="1">
        <f>YEAR(Sales_tbl[[#This Row],[Order_Date]])</f>
        <v>2025</v>
      </c>
      <c r="O39" s="4">
        <f>IFERROR(Sales_tbl[[#This Row],[Profit]]/Sales_tbl[[#This Row],[Revenue]],0)</f>
        <v>0.44444444444444442</v>
      </c>
      <c r="P39" s="1" t="str">
        <f>IF(Sales_tbl[[#This Row],[Profit]]&gt;2000, "Yes", "No")</f>
        <v>No</v>
      </c>
    </row>
    <row r="40" spans="1:16" x14ac:dyDescent="0.35">
      <c r="A40" t="s">
        <v>101</v>
      </c>
      <c r="B40" s="2" t="s">
        <v>102</v>
      </c>
      <c r="C40" t="s">
        <v>31</v>
      </c>
      <c r="D40" t="s">
        <v>39</v>
      </c>
      <c r="E40" t="s">
        <v>63</v>
      </c>
      <c r="F40" t="s">
        <v>15</v>
      </c>
      <c r="G40" s="1">
        <v>10</v>
      </c>
      <c r="H40" s="1">
        <v>850</v>
      </c>
      <c r="I40" s="3">
        <v>8500</v>
      </c>
      <c r="J40" s="3">
        <v>6500</v>
      </c>
      <c r="K40" s="3">
        <v>2000</v>
      </c>
      <c r="L40" s="1" t="str">
        <f>TEXT(Sales_tbl[[#This Row],[Order_Date]],"mmm")</f>
        <v>Jun</v>
      </c>
      <c r="M40" s="1">
        <f>MONTH(Sales_tbl[[#This Row],[Order_Date]])</f>
        <v>6</v>
      </c>
      <c r="N40" s="1">
        <f>YEAR(Sales_tbl[[#This Row],[Order_Date]])</f>
        <v>2025</v>
      </c>
      <c r="O40" s="4">
        <f>IFERROR(Sales_tbl[[#This Row],[Profit]]/Sales_tbl[[#This Row],[Revenue]],0)</f>
        <v>0.23529411764705882</v>
      </c>
      <c r="P40" s="1" t="str">
        <f>IF(Sales_tbl[[#This Row],[Profit]]&gt;2000, "Yes", "No")</f>
        <v>No</v>
      </c>
    </row>
    <row r="41" spans="1:16" x14ac:dyDescent="0.35">
      <c r="A41" t="s">
        <v>103</v>
      </c>
      <c r="B41" s="2" t="s">
        <v>104</v>
      </c>
      <c r="C41" t="s">
        <v>31</v>
      </c>
      <c r="D41" t="s">
        <v>32</v>
      </c>
      <c r="E41" t="s">
        <v>14</v>
      </c>
      <c r="F41" t="s">
        <v>15</v>
      </c>
      <c r="G41" s="1">
        <v>17</v>
      </c>
      <c r="H41" s="1">
        <v>600</v>
      </c>
      <c r="I41" s="3">
        <v>10200</v>
      </c>
      <c r="J41" s="3">
        <v>7310</v>
      </c>
      <c r="K41" s="3">
        <v>2890</v>
      </c>
      <c r="L41" s="1" t="str">
        <f>TEXT(Sales_tbl[[#This Row],[Order_Date]],"mmm")</f>
        <v>Dec</v>
      </c>
      <c r="M41" s="1">
        <f>MONTH(Sales_tbl[[#This Row],[Order_Date]])</f>
        <v>12</v>
      </c>
      <c r="N41" s="1">
        <f>YEAR(Sales_tbl[[#This Row],[Order_Date]])</f>
        <v>2025</v>
      </c>
      <c r="O41" s="4">
        <f>IFERROR(Sales_tbl[[#This Row],[Profit]]/Sales_tbl[[#This Row],[Revenue]],0)</f>
        <v>0.28333333333333333</v>
      </c>
      <c r="P41" s="1" t="str">
        <f>IF(Sales_tbl[[#This Row],[Profit]]&gt;2000, "Yes", "No")</f>
        <v>Yes</v>
      </c>
    </row>
    <row r="42" spans="1:16" x14ac:dyDescent="0.35">
      <c r="A42" t="s">
        <v>105</v>
      </c>
      <c r="B42" s="2" t="s">
        <v>106</v>
      </c>
      <c r="C42" t="s">
        <v>12</v>
      </c>
      <c r="D42" t="s">
        <v>60</v>
      </c>
      <c r="E42" t="s">
        <v>19</v>
      </c>
      <c r="F42" t="s">
        <v>20</v>
      </c>
      <c r="G42" s="1">
        <v>6</v>
      </c>
      <c r="H42" s="1">
        <v>140</v>
      </c>
      <c r="I42" s="3">
        <v>840</v>
      </c>
      <c r="J42" s="3">
        <v>540</v>
      </c>
      <c r="K42" s="3">
        <v>300</v>
      </c>
      <c r="L42" s="1" t="str">
        <f>TEXT(Sales_tbl[[#This Row],[Order_Date]],"mmm")</f>
        <v>Apr</v>
      </c>
      <c r="M42" s="1">
        <f>MONTH(Sales_tbl[[#This Row],[Order_Date]])</f>
        <v>4</v>
      </c>
      <c r="N42" s="1">
        <f>YEAR(Sales_tbl[[#This Row],[Order_Date]])</f>
        <v>2025</v>
      </c>
      <c r="O42" s="4">
        <f>IFERROR(Sales_tbl[[#This Row],[Profit]]/Sales_tbl[[#This Row],[Revenue]],0)</f>
        <v>0.35714285714285715</v>
      </c>
      <c r="P42" s="1" t="str">
        <f>IF(Sales_tbl[[#This Row],[Profit]]&gt;2000, "Yes", "No")</f>
        <v>No</v>
      </c>
    </row>
    <row r="43" spans="1:16" x14ac:dyDescent="0.35">
      <c r="A43" t="s">
        <v>107</v>
      </c>
      <c r="B43" s="2" t="s">
        <v>108</v>
      </c>
      <c r="C43" t="s">
        <v>31</v>
      </c>
      <c r="D43" t="s">
        <v>26</v>
      </c>
      <c r="E43" t="s">
        <v>57</v>
      </c>
      <c r="F43" t="s">
        <v>15</v>
      </c>
      <c r="G43" s="1">
        <v>20</v>
      </c>
      <c r="H43" s="1">
        <v>300</v>
      </c>
      <c r="I43" s="3">
        <v>6000</v>
      </c>
      <c r="J43" s="3">
        <v>4400</v>
      </c>
      <c r="K43" s="3">
        <v>1600</v>
      </c>
      <c r="L43" s="1" t="str">
        <f>TEXT(Sales_tbl[[#This Row],[Order_Date]],"mmm")</f>
        <v>Jul</v>
      </c>
      <c r="M43" s="1">
        <f>MONTH(Sales_tbl[[#This Row],[Order_Date]])</f>
        <v>7</v>
      </c>
      <c r="N43" s="1">
        <f>YEAR(Sales_tbl[[#This Row],[Order_Date]])</f>
        <v>2025</v>
      </c>
      <c r="O43" s="4">
        <f>IFERROR(Sales_tbl[[#This Row],[Profit]]/Sales_tbl[[#This Row],[Revenue]],0)</f>
        <v>0.26666666666666666</v>
      </c>
      <c r="P43" s="1" t="str">
        <f>IF(Sales_tbl[[#This Row],[Profit]]&gt;2000, "Yes", "No")</f>
        <v>No</v>
      </c>
    </row>
    <row r="44" spans="1:16" x14ac:dyDescent="0.35">
      <c r="A44" t="s">
        <v>109</v>
      </c>
      <c r="B44" s="2" t="s">
        <v>110</v>
      </c>
      <c r="C44" t="s">
        <v>23</v>
      </c>
      <c r="D44" t="s">
        <v>32</v>
      </c>
      <c r="E44" t="s">
        <v>57</v>
      </c>
      <c r="F44" t="s">
        <v>15</v>
      </c>
      <c r="G44" s="1">
        <v>5</v>
      </c>
      <c r="H44" s="1">
        <v>300</v>
      </c>
      <c r="I44" s="3">
        <v>1500</v>
      </c>
      <c r="J44" s="3">
        <v>1100</v>
      </c>
      <c r="K44" s="3">
        <v>400</v>
      </c>
      <c r="L44" s="1" t="str">
        <f>TEXT(Sales_tbl[[#This Row],[Order_Date]],"mmm")</f>
        <v>Nov</v>
      </c>
      <c r="M44" s="1">
        <f>MONTH(Sales_tbl[[#This Row],[Order_Date]])</f>
        <v>11</v>
      </c>
      <c r="N44" s="1">
        <f>YEAR(Sales_tbl[[#This Row],[Order_Date]])</f>
        <v>2025</v>
      </c>
      <c r="O44" s="4">
        <f>IFERROR(Sales_tbl[[#This Row],[Profit]]/Sales_tbl[[#This Row],[Revenue]],0)</f>
        <v>0.26666666666666666</v>
      </c>
      <c r="P44" s="1" t="str">
        <f>IF(Sales_tbl[[#This Row],[Profit]]&gt;2000, "Yes", "No")</f>
        <v>No</v>
      </c>
    </row>
    <row r="45" spans="1:16" x14ac:dyDescent="0.35">
      <c r="A45" t="s">
        <v>111</v>
      </c>
      <c r="B45" s="2" t="s">
        <v>112</v>
      </c>
      <c r="C45" t="s">
        <v>18</v>
      </c>
      <c r="D45" t="s">
        <v>39</v>
      </c>
      <c r="E45" t="s">
        <v>35</v>
      </c>
      <c r="F45" t="s">
        <v>36</v>
      </c>
      <c r="G45" s="1">
        <v>14</v>
      </c>
      <c r="H45" s="1">
        <v>90</v>
      </c>
      <c r="I45" s="3">
        <v>1260</v>
      </c>
      <c r="J45" s="3">
        <v>700</v>
      </c>
      <c r="K45" s="3">
        <v>560</v>
      </c>
      <c r="L45" s="1" t="str">
        <f>TEXT(Sales_tbl[[#This Row],[Order_Date]],"mmm")</f>
        <v>Apr</v>
      </c>
      <c r="M45" s="1">
        <f>MONTH(Sales_tbl[[#This Row],[Order_Date]])</f>
        <v>4</v>
      </c>
      <c r="N45" s="1">
        <f>YEAR(Sales_tbl[[#This Row],[Order_Date]])</f>
        <v>2025</v>
      </c>
      <c r="O45" s="4">
        <f>IFERROR(Sales_tbl[[#This Row],[Profit]]/Sales_tbl[[#This Row],[Revenue]],0)</f>
        <v>0.44444444444444442</v>
      </c>
      <c r="P45" s="1" t="str">
        <f>IF(Sales_tbl[[#This Row],[Profit]]&gt;2000, "Yes", "No")</f>
        <v>No</v>
      </c>
    </row>
    <row r="46" spans="1:16" x14ac:dyDescent="0.35">
      <c r="A46" t="s">
        <v>113</v>
      </c>
      <c r="B46" s="2" t="s">
        <v>114</v>
      </c>
      <c r="C46" t="s">
        <v>18</v>
      </c>
      <c r="D46" t="s">
        <v>39</v>
      </c>
      <c r="E46" t="s">
        <v>19</v>
      </c>
      <c r="F46" t="s">
        <v>20</v>
      </c>
      <c r="G46" s="1">
        <v>12</v>
      </c>
      <c r="H46" s="1">
        <v>140</v>
      </c>
      <c r="I46" s="3">
        <v>1680</v>
      </c>
      <c r="J46" s="3">
        <v>1080</v>
      </c>
      <c r="K46" s="3">
        <v>600</v>
      </c>
      <c r="L46" s="1" t="str">
        <f>TEXT(Sales_tbl[[#This Row],[Order_Date]],"mmm")</f>
        <v>Oct</v>
      </c>
      <c r="M46" s="1">
        <f>MONTH(Sales_tbl[[#This Row],[Order_Date]])</f>
        <v>10</v>
      </c>
      <c r="N46" s="1">
        <f>YEAR(Sales_tbl[[#This Row],[Order_Date]])</f>
        <v>2025</v>
      </c>
      <c r="O46" s="4">
        <f>IFERROR(Sales_tbl[[#This Row],[Profit]]/Sales_tbl[[#This Row],[Revenue]],0)</f>
        <v>0.35714285714285715</v>
      </c>
      <c r="P46" s="1" t="str">
        <f>IF(Sales_tbl[[#This Row],[Profit]]&gt;2000, "Yes", "No")</f>
        <v>No</v>
      </c>
    </row>
    <row r="47" spans="1:16" x14ac:dyDescent="0.35">
      <c r="A47" t="s">
        <v>115</v>
      </c>
      <c r="B47" s="2" t="s">
        <v>116</v>
      </c>
      <c r="C47" t="s">
        <v>12</v>
      </c>
      <c r="D47" t="s">
        <v>32</v>
      </c>
      <c r="E47" t="s">
        <v>63</v>
      </c>
      <c r="F47" t="s">
        <v>15</v>
      </c>
      <c r="G47" s="1">
        <v>13</v>
      </c>
      <c r="H47" s="1">
        <v>850</v>
      </c>
      <c r="I47" s="3">
        <v>11050</v>
      </c>
      <c r="J47" s="3">
        <v>8450</v>
      </c>
      <c r="K47" s="3">
        <v>2600</v>
      </c>
      <c r="L47" s="1" t="str">
        <f>TEXT(Sales_tbl[[#This Row],[Order_Date]],"mmm")</f>
        <v>Jul</v>
      </c>
      <c r="M47" s="1">
        <f>MONTH(Sales_tbl[[#This Row],[Order_Date]])</f>
        <v>7</v>
      </c>
      <c r="N47" s="1">
        <f>YEAR(Sales_tbl[[#This Row],[Order_Date]])</f>
        <v>2025</v>
      </c>
      <c r="O47" s="4">
        <f>IFERROR(Sales_tbl[[#This Row],[Profit]]/Sales_tbl[[#This Row],[Revenue]],0)</f>
        <v>0.23529411764705882</v>
      </c>
      <c r="P47" s="1" t="str">
        <f>IF(Sales_tbl[[#This Row],[Profit]]&gt;2000, "Yes", "No")</f>
        <v>Yes</v>
      </c>
    </row>
    <row r="48" spans="1:16" x14ac:dyDescent="0.35">
      <c r="A48" t="s">
        <v>117</v>
      </c>
      <c r="B48" s="2" t="s">
        <v>118</v>
      </c>
      <c r="C48" t="s">
        <v>12</v>
      </c>
      <c r="D48" t="s">
        <v>13</v>
      </c>
      <c r="E48" t="s">
        <v>14</v>
      </c>
      <c r="F48" t="s">
        <v>15</v>
      </c>
      <c r="G48" s="1">
        <v>10</v>
      </c>
      <c r="H48" s="1">
        <v>600</v>
      </c>
      <c r="I48" s="3">
        <v>6000</v>
      </c>
      <c r="J48" s="3">
        <v>4300</v>
      </c>
      <c r="K48" s="3">
        <v>1700</v>
      </c>
      <c r="L48" s="1" t="str">
        <f>TEXT(Sales_tbl[[#This Row],[Order_Date]],"mmm")</f>
        <v>Jul</v>
      </c>
      <c r="M48" s="1">
        <f>MONTH(Sales_tbl[[#This Row],[Order_Date]])</f>
        <v>7</v>
      </c>
      <c r="N48" s="1">
        <f>YEAR(Sales_tbl[[#This Row],[Order_Date]])</f>
        <v>2025</v>
      </c>
      <c r="O48" s="4">
        <f>IFERROR(Sales_tbl[[#This Row],[Profit]]/Sales_tbl[[#This Row],[Revenue]],0)</f>
        <v>0.28333333333333333</v>
      </c>
      <c r="P48" s="1" t="str">
        <f>IF(Sales_tbl[[#This Row],[Profit]]&gt;2000, "Yes", "No")</f>
        <v>No</v>
      </c>
    </row>
    <row r="49" spans="1:16" x14ac:dyDescent="0.35">
      <c r="A49" t="s">
        <v>119</v>
      </c>
      <c r="B49" s="2" t="s">
        <v>120</v>
      </c>
      <c r="C49" t="s">
        <v>31</v>
      </c>
      <c r="D49" t="s">
        <v>54</v>
      </c>
      <c r="E49" t="s">
        <v>28</v>
      </c>
      <c r="F49" t="s">
        <v>20</v>
      </c>
      <c r="G49" s="1">
        <v>7</v>
      </c>
      <c r="H49" s="1">
        <v>220</v>
      </c>
      <c r="I49" s="3">
        <v>1540</v>
      </c>
      <c r="J49" s="3">
        <v>1050</v>
      </c>
      <c r="K49" s="3">
        <v>490</v>
      </c>
      <c r="L49" s="1" t="str">
        <f>TEXT(Sales_tbl[[#This Row],[Order_Date]],"mmm")</f>
        <v>Jan</v>
      </c>
      <c r="M49" s="1">
        <f>MONTH(Sales_tbl[[#This Row],[Order_Date]])</f>
        <v>1</v>
      </c>
      <c r="N49" s="1">
        <f>YEAR(Sales_tbl[[#This Row],[Order_Date]])</f>
        <v>2025</v>
      </c>
      <c r="O49" s="4">
        <f>IFERROR(Sales_tbl[[#This Row],[Profit]]/Sales_tbl[[#This Row],[Revenue]],0)</f>
        <v>0.31818181818181818</v>
      </c>
      <c r="P49" s="1" t="str">
        <f>IF(Sales_tbl[[#This Row],[Profit]]&gt;2000, "Yes", "No")</f>
        <v>No</v>
      </c>
    </row>
    <row r="50" spans="1:16" x14ac:dyDescent="0.35">
      <c r="A50" t="s">
        <v>121</v>
      </c>
      <c r="B50" s="2" t="s">
        <v>41</v>
      </c>
      <c r="C50" t="s">
        <v>18</v>
      </c>
      <c r="D50" t="s">
        <v>26</v>
      </c>
      <c r="E50" t="s">
        <v>35</v>
      </c>
      <c r="F50" t="s">
        <v>36</v>
      </c>
      <c r="G50" s="1">
        <v>13</v>
      </c>
      <c r="H50" s="1">
        <v>90</v>
      </c>
      <c r="I50" s="3">
        <v>1170</v>
      </c>
      <c r="J50" s="3">
        <v>650</v>
      </c>
      <c r="K50" s="3">
        <v>520</v>
      </c>
      <c r="L50" s="1" t="str">
        <f>TEXT(Sales_tbl[[#This Row],[Order_Date]],"mmm")</f>
        <v>Sep</v>
      </c>
      <c r="M50" s="1">
        <f>MONTH(Sales_tbl[[#This Row],[Order_Date]])</f>
        <v>9</v>
      </c>
      <c r="N50" s="1">
        <f>YEAR(Sales_tbl[[#This Row],[Order_Date]])</f>
        <v>2025</v>
      </c>
      <c r="O50" s="4">
        <f>IFERROR(Sales_tbl[[#This Row],[Profit]]/Sales_tbl[[#This Row],[Revenue]],0)</f>
        <v>0.44444444444444442</v>
      </c>
      <c r="P50" s="1" t="str">
        <f>IF(Sales_tbl[[#This Row],[Profit]]&gt;2000, "Yes", "No")</f>
        <v>No</v>
      </c>
    </row>
    <row r="51" spans="1:16" x14ac:dyDescent="0.35">
      <c r="A51" t="s">
        <v>122</v>
      </c>
      <c r="B51" s="2" t="s">
        <v>123</v>
      </c>
      <c r="C51" t="s">
        <v>31</v>
      </c>
      <c r="D51" t="s">
        <v>26</v>
      </c>
      <c r="E51" t="s">
        <v>14</v>
      </c>
      <c r="F51" t="s">
        <v>15</v>
      </c>
      <c r="G51" s="1">
        <v>6</v>
      </c>
      <c r="H51" s="1">
        <v>600</v>
      </c>
      <c r="I51" s="3">
        <v>3600</v>
      </c>
      <c r="J51" s="3">
        <v>2580</v>
      </c>
      <c r="K51" s="3">
        <v>1020</v>
      </c>
      <c r="L51" s="1" t="str">
        <f>TEXT(Sales_tbl[[#This Row],[Order_Date]],"mmm")</f>
        <v>Apr</v>
      </c>
      <c r="M51" s="1">
        <f>MONTH(Sales_tbl[[#This Row],[Order_Date]])</f>
        <v>4</v>
      </c>
      <c r="N51" s="1">
        <f>YEAR(Sales_tbl[[#This Row],[Order_Date]])</f>
        <v>2025</v>
      </c>
      <c r="O51" s="4">
        <f>IFERROR(Sales_tbl[[#This Row],[Profit]]/Sales_tbl[[#This Row],[Revenue]],0)</f>
        <v>0.28333333333333333</v>
      </c>
      <c r="P51" s="1" t="str">
        <f>IF(Sales_tbl[[#This Row],[Profit]]&gt;2000, "Yes", "No")</f>
        <v>No</v>
      </c>
    </row>
    <row r="52" spans="1:16" x14ac:dyDescent="0.35">
      <c r="A52" t="s">
        <v>124</v>
      </c>
      <c r="B52" s="2" t="s">
        <v>125</v>
      </c>
      <c r="C52" t="s">
        <v>31</v>
      </c>
      <c r="D52" t="s">
        <v>60</v>
      </c>
      <c r="E52" t="s">
        <v>63</v>
      </c>
      <c r="F52" t="s">
        <v>15</v>
      </c>
      <c r="G52" s="1">
        <v>10</v>
      </c>
      <c r="H52" s="1">
        <v>850</v>
      </c>
      <c r="I52" s="3">
        <v>8500</v>
      </c>
      <c r="J52" s="3">
        <v>6500</v>
      </c>
      <c r="K52" s="3">
        <v>2000</v>
      </c>
      <c r="L52" s="1" t="str">
        <f>TEXT(Sales_tbl[[#This Row],[Order_Date]],"mmm")</f>
        <v>Jul</v>
      </c>
      <c r="M52" s="1">
        <f>MONTH(Sales_tbl[[#This Row],[Order_Date]])</f>
        <v>7</v>
      </c>
      <c r="N52" s="1">
        <f>YEAR(Sales_tbl[[#This Row],[Order_Date]])</f>
        <v>2025</v>
      </c>
      <c r="O52" s="4">
        <f>IFERROR(Sales_tbl[[#This Row],[Profit]]/Sales_tbl[[#This Row],[Revenue]],0)</f>
        <v>0.23529411764705882</v>
      </c>
      <c r="P52" s="1" t="str">
        <f>IF(Sales_tbl[[#This Row],[Profit]]&gt;2000, "Yes", "No")</f>
        <v>No</v>
      </c>
    </row>
    <row r="53" spans="1:16" x14ac:dyDescent="0.35">
      <c r="A53" t="s">
        <v>126</v>
      </c>
      <c r="B53" s="2" t="s">
        <v>127</v>
      </c>
      <c r="C53" t="s">
        <v>12</v>
      </c>
      <c r="D53" t="s">
        <v>32</v>
      </c>
      <c r="E53" t="s">
        <v>19</v>
      </c>
      <c r="F53" t="s">
        <v>20</v>
      </c>
      <c r="G53" s="1">
        <v>10</v>
      </c>
      <c r="H53" s="1">
        <v>140</v>
      </c>
      <c r="I53" s="3">
        <v>1400</v>
      </c>
      <c r="J53" s="3">
        <v>900</v>
      </c>
      <c r="K53" s="3">
        <v>500</v>
      </c>
      <c r="L53" s="1" t="str">
        <f>TEXT(Sales_tbl[[#This Row],[Order_Date]],"mmm")</f>
        <v>Mar</v>
      </c>
      <c r="M53" s="1">
        <f>MONTH(Sales_tbl[[#This Row],[Order_Date]])</f>
        <v>3</v>
      </c>
      <c r="N53" s="1">
        <f>YEAR(Sales_tbl[[#This Row],[Order_Date]])</f>
        <v>2025</v>
      </c>
      <c r="O53" s="4">
        <f>IFERROR(Sales_tbl[[#This Row],[Profit]]/Sales_tbl[[#This Row],[Revenue]],0)</f>
        <v>0.35714285714285715</v>
      </c>
      <c r="P53" s="1" t="str">
        <f>IF(Sales_tbl[[#This Row],[Profit]]&gt;2000, "Yes", "No")</f>
        <v>No</v>
      </c>
    </row>
    <row r="54" spans="1:16" x14ac:dyDescent="0.35">
      <c r="A54" t="s">
        <v>128</v>
      </c>
      <c r="B54" s="2" t="s">
        <v>129</v>
      </c>
      <c r="C54" t="s">
        <v>23</v>
      </c>
      <c r="D54" t="s">
        <v>39</v>
      </c>
      <c r="E54" t="s">
        <v>63</v>
      </c>
      <c r="F54" t="s">
        <v>15</v>
      </c>
      <c r="G54" s="1">
        <v>12</v>
      </c>
      <c r="H54" s="1">
        <v>850</v>
      </c>
      <c r="I54" s="3">
        <v>10200</v>
      </c>
      <c r="J54" s="3">
        <v>7800</v>
      </c>
      <c r="K54" s="3">
        <v>2400</v>
      </c>
      <c r="L54" s="1" t="str">
        <f>TEXT(Sales_tbl[[#This Row],[Order_Date]],"mmm")</f>
        <v>Aug</v>
      </c>
      <c r="M54" s="1">
        <f>MONTH(Sales_tbl[[#This Row],[Order_Date]])</f>
        <v>8</v>
      </c>
      <c r="N54" s="1">
        <f>YEAR(Sales_tbl[[#This Row],[Order_Date]])</f>
        <v>2025</v>
      </c>
      <c r="O54" s="4">
        <f>IFERROR(Sales_tbl[[#This Row],[Profit]]/Sales_tbl[[#This Row],[Revenue]],0)</f>
        <v>0.23529411764705882</v>
      </c>
      <c r="P54" s="1" t="str">
        <f>IF(Sales_tbl[[#This Row],[Profit]]&gt;2000, "Yes", "No")</f>
        <v>Yes</v>
      </c>
    </row>
    <row r="55" spans="1:16" x14ac:dyDescent="0.35">
      <c r="A55" t="s">
        <v>130</v>
      </c>
      <c r="B55" s="2" t="s">
        <v>131</v>
      </c>
      <c r="C55" t="s">
        <v>12</v>
      </c>
      <c r="D55" t="s">
        <v>54</v>
      </c>
      <c r="E55" t="s">
        <v>57</v>
      </c>
      <c r="F55" t="s">
        <v>15</v>
      </c>
      <c r="G55" s="1">
        <v>15</v>
      </c>
      <c r="H55" s="1">
        <v>300</v>
      </c>
      <c r="I55" s="3">
        <v>4500</v>
      </c>
      <c r="J55" s="3">
        <v>3300</v>
      </c>
      <c r="K55" s="3">
        <v>1200</v>
      </c>
      <c r="L55" s="1" t="str">
        <f>TEXT(Sales_tbl[[#This Row],[Order_Date]],"mmm")</f>
        <v>Mar</v>
      </c>
      <c r="M55" s="1">
        <f>MONTH(Sales_tbl[[#This Row],[Order_Date]])</f>
        <v>3</v>
      </c>
      <c r="N55" s="1">
        <f>YEAR(Sales_tbl[[#This Row],[Order_Date]])</f>
        <v>2025</v>
      </c>
      <c r="O55" s="4">
        <f>IFERROR(Sales_tbl[[#This Row],[Profit]]/Sales_tbl[[#This Row],[Revenue]],0)</f>
        <v>0.26666666666666666</v>
      </c>
      <c r="P55" s="1" t="str">
        <f>IF(Sales_tbl[[#This Row],[Profit]]&gt;2000, "Yes", "No")</f>
        <v>No</v>
      </c>
    </row>
    <row r="56" spans="1:16" x14ac:dyDescent="0.35">
      <c r="A56" t="s">
        <v>132</v>
      </c>
      <c r="B56" s="2" t="s">
        <v>133</v>
      </c>
      <c r="C56" t="s">
        <v>12</v>
      </c>
      <c r="D56" t="s">
        <v>26</v>
      </c>
      <c r="E56" t="s">
        <v>14</v>
      </c>
      <c r="F56" t="s">
        <v>15</v>
      </c>
      <c r="G56" s="1">
        <v>12</v>
      </c>
      <c r="H56" s="1">
        <v>600</v>
      </c>
      <c r="I56" s="3">
        <v>7200</v>
      </c>
      <c r="J56" s="3">
        <v>5160</v>
      </c>
      <c r="K56" s="3">
        <v>2040</v>
      </c>
      <c r="L56" s="1" t="str">
        <f>TEXT(Sales_tbl[[#This Row],[Order_Date]],"mmm")</f>
        <v>Dec</v>
      </c>
      <c r="M56" s="1">
        <f>MONTH(Sales_tbl[[#This Row],[Order_Date]])</f>
        <v>12</v>
      </c>
      <c r="N56" s="1">
        <f>YEAR(Sales_tbl[[#This Row],[Order_Date]])</f>
        <v>2025</v>
      </c>
      <c r="O56" s="4">
        <f>IFERROR(Sales_tbl[[#This Row],[Profit]]/Sales_tbl[[#This Row],[Revenue]],0)</f>
        <v>0.28333333333333333</v>
      </c>
      <c r="P56" s="1" t="str">
        <f>IF(Sales_tbl[[#This Row],[Profit]]&gt;2000, "Yes", "No")</f>
        <v>Yes</v>
      </c>
    </row>
    <row r="57" spans="1:16" x14ac:dyDescent="0.35">
      <c r="A57" t="s">
        <v>134</v>
      </c>
      <c r="B57" s="2" t="s">
        <v>135</v>
      </c>
      <c r="C57" t="s">
        <v>18</v>
      </c>
      <c r="D57" t="s">
        <v>26</v>
      </c>
      <c r="E57" t="s">
        <v>28</v>
      </c>
      <c r="F57" t="s">
        <v>20</v>
      </c>
      <c r="G57" s="1">
        <v>9</v>
      </c>
      <c r="H57" s="1">
        <v>220</v>
      </c>
      <c r="I57" s="3">
        <v>1980</v>
      </c>
      <c r="J57" s="3">
        <v>1350</v>
      </c>
      <c r="K57" s="3">
        <v>630</v>
      </c>
      <c r="L57" s="1" t="str">
        <f>TEXT(Sales_tbl[[#This Row],[Order_Date]],"mmm")</f>
        <v>Nov</v>
      </c>
      <c r="M57" s="1">
        <f>MONTH(Sales_tbl[[#This Row],[Order_Date]])</f>
        <v>11</v>
      </c>
      <c r="N57" s="1">
        <f>YEAR(Sales_tbl[[#This Row],[Order_Date]])</f>
        <v>2025</v>
      </c>
      <c r="O57" s="4">
        <f>IFERROR(Sales_tbl[[#This Row],[Profit]]/Sales_tbl[[#This Row],[Revenue]],0)</f>
        <v>0.31818181818181818</v>
      </c>
      <c r="P57" s="1" t="str">
        <f>IF(Sales_tbl[[#This Row],[Profit]]&gt;2000, "Yes", "No")</f>
        <v>No</v>
      </c>
    </row>
    <row r="58" spans="1:16" x14ac:dyDescent="0.35">
      <c r="A58" t="s">
        <v>136</v>
      </c>
      <c r="B58" s="2" t="s">
        <v>137</v>
      </c>
      <c r="C58" t="s">
        <v>31</v>
      </c>
      <c r="D58" t="s">
        <v>26</v>
      </c>
      <c r="E58" t="s">
        <v>35</v>
      </c>
      <c r="F58" t="s">
        <v>36</v>
      </c>
      <c r="G58" s="1">
        <v>19</v>
      </c>
      <c r="H58" s="1">
        <v>90</v>
      </c>
      <c r="I58" s="3">
        <v>1710</v>
      </c>
      <c r="J58" s="3">
        <v>950</v>
      </c>
      <c r="K58" s="3">
        <v>760</v>
      </c>
      <c r="L58" s="1" t="str">
        <f>TEXT(Sales_tbl[[#This Row],[Order_Date]],"mmm")</f>
        <v>Mar</v>
      </c>
      <c r="M58" s="1">
        <f>MONTH(Sales_tbl[[#This Row],[Order_Date]])</f>
        <v>3</v>
      </c>
      <c r="N58" s="1">
        <f>YEAR(Sales_tbl[[#This Row],[Order_Date]])</f>
        <v>2025</v>
      </c>
      <c r="O58" s="4">
        <f>IFERROR(Sales_tbl[[#This Row],[Profit]]/Sales_tbl[[#This Row],[Revenue]],0)</f>
        <v>0.44444444444444442</v>
      </c>
      <c r="P58" s="1" t="str">
        <f>IF(Sales_tbl[[#This Row],[Profit]]&gt;2000, "Yes", "No")</f>
        <v>No</v>
      </c>
    </row>
    <row r="59" spans="1:16" x14ac:dyDescent="0.35">
      <c r="A59" t="s">
        <v>138</v>
      </c>
      <c r="B59" s="2" t="s">
        <v>139</v>
      </c>
      <c r="C59" t="s">
        <v>18</v>
      </c>
      <c r="D59" t="s">
        <v>60</v>
      </c>
      <c r="E59" t="s">
        <v>63</v>
      </c>
      <c r="F59" t="s">
        <v>15</v>
      </c>
      <c r="G59" s="1">
        <v>15</v>
      </c>
      <c r="H59" s="1">
        <v>850</v>
      </c>
      <c r="I59" s="3">
        <v>12750</v>
      </c>
      <c r="J59" s="3">
        <v>9750</v>
      </c>
      <c r="K59" s="3">
        <v>3000</v>
      </c>
      <c r="L59" s="1" t="str">
        <f>TEXT(Sales_tbl[[#This Row],[Order_Date]],"mmm")</f>
        <v>Apr</v>
      </c>
      <c r="M59" s="1">
        <f>MONTH(Sales_tbl[[#This Row],[Order_Date]])</f>
        <v>4</v>
      </c>
      <c r="N59" s="1">
        <f>YEAR(Sales_tbl[[#This Row],[Order_Date]])</f>
        <v>2025</v>
      </c>
      <c r="O59" s="4">
        <f>IFERROR(Sales_tbl[[#This Row],[Profit]]/Sales_tbl[[#This Row],[Revenue]],0)</f>
        <v>0.23529411764705882</v>
      </c>
      <c r="P59" s="1" t="str">
        <f>IF(Sales_tbl[[#This Row],[Profit]]&gt;2000, "Yes", "No")</f>
        <v>Yes</v>
      </c>
    </row>
    <row r="60" spans="1:16" x14ac:dyDescent="0.35">
      <c r="A60" t="s">
        <v>140</v>
      </c>
      <c r="B60" s="2" t="s">
        <v>141</v>
      </c>
      <c r="C60" t="s">
        <v>18</v>
      </c>
      <c r="D60" t="s">
        <v>60</v>
      </c>
      <c r="E60" t="s">
        <v>63</v>
      </c>
      <c r="F60" t="s">
        <v>15</v>
      </c>
      <c r="G60" s="1">
        <v>3</v>
      </c>
      <c r="H60" s="1">
        <v>850</v>
      </c>
      <c r="I60" s="3">
        <v>2550</v>
      </c>
      <c r="J60" s="3">
        <v>1950</v>
      </c>
      <c r="K60" s="3">
        <v>600</v>
      </c>
      <c r="L60" s="1" t="str">
        <f>TEXT(Sales_tbl[[#This Row],[Order_Date]],"mmm")</f>
        <v>Oct</v>
      </c>
      <c r="M60" s="1">
        <f>MONTH(Sales_tbl[[#This Row],[Order_Date]])</f>
        <v>10</v>
      </c>
      <c r="N60" s="1">
        <f>YEAR(Sales_tbl[[#This Row],[Order_Date]])</f>
        <v>2025</v>
      </c>
      <c r="O60" s="4">
        <f>IFERROR(Sales_tbl[[#This Row],[Profit]]/Sales_tbl[[#This Row],[Revenue]],0)</f>
        <v>0.23529411764705882</v>
      </c>
      <c r="P60" s="1" t="str">
        <f>IF(Sales_tbl[[#This Row],[Profit]]&gt;2000, "Yes", "No")</f>
        <v>No</v>
      </c>
    </row>
    <row r="61" spans="1:16" x14ac:dyDescent="0.35">
      <c r="A61" t="s">
        <v>142</v>
      </c>
      <c r="B61" s="2" t="s">
        <v>34</v>
      </c>
      <c r="C61" t="s">
        <v>18</v>
      </c>
      <c r="D61" t="s">
        <v>26</v>
      </c>
      <c r="E61" t="s">
        <v>19</v>
      </c>
      <c r="F61" t="s">
        <v>20</v>
      </c>
      <c r="G61" s="1">
        <v>12</v>
      </c>
      <c r="H61" s="1">
        <v>140</v>
      </c>
      <c r="I61" s="3">
        <v>1680</v>
      </c>
      <c r="J61" s="3">
        <v>1080</v>
      </c>
      <c r="K61" s="3">
        <v>600</v>
      </c>
      <c r="L61" s="1" t="str">
        <f>TEXT(Sales_tbl[[#This Row],[Order_Date]],"mmm")</f>
        <v>May</v>
      </c>
      <c r="M61" s="1">
        <f>MONTH(Sales_tbl[[#This Row],[Order_Date]])</f>
        <v>5</v>
      </c>
      <c r="N61" s="1">
        <f>YEAR(Sales_tbl[[#This Row],[Order_Date]])</f>
        <v>2025</v>
      </c>
      <c r="O61" s="4">
        <f>IFERROR(Sales_tbl[[#This Row],[Profit]]/Sales_tbl[[#This Row],[Revenue]],0)</f>
        <v>0.35714285714285715</v>
      </c>
      <c r="P61" s="1" t="str">
        <f>IF(Sales_tbl[[#This Row],[Profit]]&gt;2000, "Yes", "No")</f>
        <v>No</v>
      </c>
    </row>
    <row r="62" spans="1:16" x14ac:dyDescent="0.35">
      <c r="A62" t="s">
        <v>143</v>
      </c>
      <c r="B62" s="2" t="s">
        <v>144</v>
      </c>
      <c r="C62" t="s">
        <v>31</v>
      </c>
      <c r="D62" t="s">
        <v>26</v>
      </c>
      <c r="E62" t="s">
        <v>35</v>
      </c>
      <c r="F62" t="s">
        <v>36</v>
      </c>
      <c r="G62" s="1">
        <v>6</v>
      </c>
      <c r="H62" s="1">
        <v>90</v>
      </c>
      <c r="I62" s="3">
        <v>540</v>
      </c>
      <c r="J62" s="3">
        <v>300</v>
      </c>
      <c r="K62" s="3">
        <v>240</v>
      </c>
      <c r="L62" s="1" t="str">
        <f>TEXT(Sales_tbl[[#This Row],[Order_Date]],"mmm")</f>
        <v>Jan</v>
      </c>
      <c r="M62" s="1">
        <f>MONTH(Sales_tbl[[#This Row],[Order_Date]])</f>
        <v>1</v>
      </c>
      <c r="N62" s="1">
        <f>YEAR(Sales_tbl[[#This Row],[Order_Date]])</f>
        <v>2025</v>
      </c>
      <c r="O62" s="4">
        <f>IFERROR(Sales_tbl[[#This Row],[Profit]]/Sales_tbl[[#This Row],[Revenue]],0)</f>
        <v>0.44444444444444442</v>
      </c>
      <c r="P62" s="1" t="str">
        <f>IF(Sales_tbl[[#This Row],[Profit]]&gt;2000, "Yes", "No")</f>
        <v>No</v>
      </c>
    </row>
    <row r="63" spans="1:16" x14ac:dyDescent="0.35">
      <c r="A63" t="s">
        <v>145</v>
      </c>
      <c r="B63" s="2" t="s">
        <v>146</v>
      </c>
      <c r="C63" t="s">
        <v>23</v>
      </c>
      <c r="D63" t="s">
        <v>32</v>
      </c>
      <c r="E63" t="s">
        <v>35</v>
      </c>
      <c r="F63" t="s">
        <v>36</v>
      </c>
      <c r="G63" s="1">
        <v>9</v>
      </c>
      <c r="H63" s="1">
        <v>90</v>
      </c>
      <c r="I63" s="3">
        <v>810</v>
      </c>
      <c r="J63" s="3">
        <v>450</v>
      </c>
      <c r="K63" s="3">
        <v>360</v>
      </c>
      <c r="L63" s="1" t="str">
        <f>TEXT(Sales_tbl[[#This Row],[Order_Date]],"mmm")</f>
        <v>Nov</v>
      </c>
      <c r="M63" s="1">
        <f>MONTH(Sales_tbl[[#This Row],[Order_Date]])</f>
        <v>11</v>
      </c>
      <c r="N63" s="1">
        <f>YEAR(Sales_tbl[[#This Row],[Order_Date]])</f>
        <v>2025</v>
      </c>
      <c r="O63" s="4">
        <f>IFERROR(Sales_tbl[[#This Row],[Profit]]/Sales_tbl[[#This Row],[Revenue]],0)</f>
        <v>0.44444444444444442</v>
      </c>
      <c r="P63" s="1" t="str">
        <f>IF(Sales_tbl[[#This Row],[Profit]]&gt;2000, "Yes", "No")</f>
        <v>No</v>
      </c>
    </row>
    <row r="64" spans="1:16" x14ac:dyDescent="0.35">
      <c r="A64" t="s">
        <v>147</v>
      </c>
      <c r="B64" s="2" t="s">
        <v>148</v>
      </c>
      <c r="C64" t="s">
        <v>12</v>
      </c>
      <c r="D64" t="s">
        <v>26</v>
      </c>
      <c r="E64" t="s">
        <v>28</v>
      </c>
      <c r="F64" t="s">
        <v>20</v>
      </c>
      <c r="G64" s="1">
        <v>15</v>
      </c>
      <c r="H64" s="1">
        <v>220</v>
      </c>
      <c r="I64" s="3">
        <v>3300</v>
      </c>
      <c r="J64" s="3">
        <v>2250</v>
      </c>
      <c r="K64" s="3">
        <v>1050</v>
      </c>
      <c r="L64" s="1" t="str">
        <f>TEXT(Sales_tbl[[#This Row],[Order_Date]],"mmm")</f>
        <v>Oct</v>
      </c>
      <c r="M64" s="1">
        <f>MONTH(Sales_tbl[[#This Row],[Order_Date]])</f>
        <v>10</v>
      </c>
      <c r="N64" s="1">
        <f>YEAR(Sales_tbl[[#This Row],[Order_Date]])</f>
        <v>2025</v>
      </c>
      <c r="O64" s="4">
        <f>IFERROR(Sales_tbl[[#This Row],[Profit]]/Sales_tbl[[#This Row],[Revenue]],0)</f>
        <v>0.31818181818181818</v>
      </c>
      <c r="P64" s="1" t="str">
        <f>IF(Sales_tbl[[#This Row],[Profit]]&gt;2000, "Yes", "No")</f>
        <v>No</v>
      </c>
    </row>
    <row r="65" spans="1:16" x14ac:dyDescent="0.35">
      <c r="A65" t="s">
        <v>149</v>
      </c>
      <c r="B65" s="2" t="s">
        <v>150</v>
      </c>
      <c r="C65" t="s">
        <v>23</v>
      </c>
      <c r="D65" t="s">
        <v>60</v>
      </c>
      <c r="E65" t="s">
        <v>14</v>
      </c>
      <c r="F65" t="s">
        <v>15</v>
      </c>
      <c r="G65" s="1">
        <v>1</v>
      </c>
      <c r="H65" s="1">
        <v>600</v>
      </c>
      <c r="I65" s="3">
        <v>600</v>
      </c>
      <c r="J65" s="3">
        <v>430</v>
      </c>
      <c r="K65" s="3">
        <v>170</v>
      </c>
      <c r="L65" s="1" t="str">
        <f>TEXT(Sales_tbl[[#This Row],[Order_Date]],"mmm")</f>
        <v>May</v>
      </c>
      <c r="M65" s="1">
        <f>MONTH(Sales_tbl[[#This Row],[Order_Date]])</f>
        <v>5</v>
      </c>
      <c r="N65" s="1">
        <f>YEAR(Sales_tbl[[#This Row],[Order_Date]])</f>
        <v>2025</v>
      </c>
      <c r="O65" s="4">
        <f>IFERROR(Sales_tbl[[#This Row],[Profit]]/Sales_tbl[[#This Row],[Revenue]],0)</f>
        <v>0.28333333333333333</v>
      </c>
      <c r="P65" s="1" t="str">
        <f>IF(Sales_tbl[[#This Row],[Profit]]&gt;2000, "Yes", "No")</f>
        <v>No</v>
      </c>
    </row>
    <row r="66" spans="1:16" x14ac:dyDescent="0.35">
      <c r="A66" t="s">
        <v>151</v>
      </c>
      <c r="B66" s="2" t="s">
        <v>106</v>
      </c>
      <c r="C66" t="s">
        <v>12</v>
      </c>
      <c r="D66" t="s">
        <v>39</v>
      </c>
      <c r="E66" t="s">
        <v>63</v>
      </c>
      <c r="F66" t="s">
        <v>15</v>
      </c>
      <c r="G66" s="1">
        <v>1</v>
      </c>
      <c r="H66" s="1">
        <v>850</v>
      </c>
      <c r="I66" s="3">
        <v>850</v>
      </c>
      <c r="J66" s="3">
        <v>650</v>
      </c>
      <c r="K66" s="3">
        <v>200</v>
      </c>
      <c r="L66" s="1" t="str">
        <f>TEXT(Sales_tbl[[#This Row],[Order_Date]],"mmm")</f>
        <v>Apr</v>
      </c>
      <c r="M66" s="1">
        <f>MONTH(Sales_tbl[[#This Row],[Order_Date]])</f>
        <v>4</v>
      </c>
      <c r="N66" s="1">
        <f>YEAR(Sales_tbl[[#This Row],[Order_Date]])</f>
        <v>2025</v>
      </c>
      <c r="O66" s="4">
        <f>IFERROR(Sales_tbl[[#This Row],[Profit]]/Sales_tbl[[#This Row],[Revenue]],0)</f>
        <v>0.23529411764705882</v>
      </c>
      <c r="P66" s="1" t="str">
        <f>IF(Sales_tbl[[#This Row],[Profit]]&gt;2000, "Yes", "No")</f>
        <v>No</v>
      </c>
    </row>
    <row r="67" spans="1:16" x14ac:dyDescent="0.35">
      <c r="A67" t="s">
        <v>152</v>
      </c>
      <c r="B67" s="2" t="s">
        <v>71</v>
      </c>
      <c r="C67" t="s">
        <v>18</v>
      </c>
      <c r="D67" t="s">
        <v>32</v>
      </c>
      <c r="E67" t="s">
        <v>19</v>
      </c>
      <c r="F67" t="s">
        <v>20</v>
      </c>
      <c r="G67" s="1">
        <v>7</v>
      </c>
      <c r="H67" s="1">
        <v>140</v>
      </c>
      <c r="I67" s="3">
        <v>980</v>
      </c>
      <c r="J67" s="3">
        <v>630</v>
      </c>
      <c r="K67" s="3">
        <v>350</v>
      </c>
      <c r="L67" s="1" t="str">
        <f>TEXT(Sales_tbl[[#This Row],[Order_Date]],"mmm")</f>
        <v>Apr</v>
      </c>
      <c r="M67" s="1">
        <f>MONTH(Sales_tbl[[#This Row],[Order_Date]])</f>
        <v>4</v>
      </c>
      <c r="N67" s="1">
        <f>YEAR(Sales_tbl[[#This Row],[Order_Date]])</f>
        <v>2025</v>
      </c>
      <c r="O67" s="4">
        <f>IFERROR(Sales_tbl[[#This Row],[Profit]]/Sales_tbl[[#This Row],[Revenue]],0)</f>
        <v>0.35714285714285715</v>
      </c>
      <c r="P67" s="1" t="str">
        <f>IF(Sales_tbl[[#This Row],[Profit]]&gt;2000, "Yes", "No")</f>
        <v>No</v>
      </c>
    </row>
    <row r="68" spans="1:16" x14ac:dyDescent="0.35">
      <c r="A68" t="s">
        <v>153</v>
      </c>
      <c r="B68" s="2" t="s">
        <v>154</v>
      </c>
      <c r="C68" t="s">
        <v>18</v>
      </c>
      <c r="D68" t="s">
        <v>32</v>
      </c>
      <c r="E68" t="s">
        <v>28</v>
      </c>
      <c r="F68" t="s">
        <v>20</v>
      </c>
      <c r="G68" s="1">
        <v>12</v>
      </c>
      <c r="H68" s="1">
        <v>220</v>
      </c>
      <c r="I68" s="3">
        <v>2640</v>
      </c>
      <c r="J68" s="3">
        <v>1800</v>
      </c>
      <c r="K68" s="3">
        <v>840</v>
      </c>
      <c r="L68" s="1" t="str">
        <f>TEXT(Sales_tbl[[#This Row],[Order_Date]],"mmm")</f>
        <v>Oct</v>
      </c>
      <c r="M68" s="1">
        <f>MONTH(Sales_tbl[[#This Row],[Order_Date]])</f>
        <v>10</v>
      </c>
      <c r="N68" s="1">
        <f>YEAR(Sales_tbl[[#This Row],[Order_Date]])</f>
        <v>2025</v>
      </c>
      <c r="O68" s="4">
        <f>IFERROR(Sales_tbl[[#This Row],[Profit]]/Sales_tbl[[#This Row],[Revenue]],0)</f>
        <v>0.31818181818181818</v>
      </c>
      <c r="P68" s="1" t="str">
        <f>IF(Sales_tbl[[#This Row],[Profit]]&gt;2000, "Yes", "No")</f>
        <v>No</v>
      </c>
    </row>
    <row r="69" spans="1:16" x14ac:dyDescent="0.35">
      <c r="A69" t="s">
        <v>155</v>
      </c>
      <c r="B69" s="2" t="s">
        <v>156</v>
      </c>
      <c r="C69" t="s">
        <v>18</v>
      </c>
      <c r="D69" t="s">
        <v>39</v>
      </c>
      <c r="E69" t="s">
        <v>19</v>
      </c>
      <c r="F69" t="s">
        <v>20</v>
      </c>
      <c r="G69" s="1">
        <v>17</v>
      </c>
      <c r="H69" s="1">
        <v>140</v>
      </c>
      <c r="I69" s="3">
        <v>2380</v>
      </c>
      <c r="J69" s="3">
        <v>1530</v>
      </c>
      <c r="K69" s="3">
        <v>850</v>
      </c>
      <c r="L69" s="1" t="str">
        <f>TEXT(Sales_tbl[[#This Row],[Order_Date]],"mmm")</f>
        <v>Apr</v>
      </c>
      <c r="M69" s="1">
        <f>MONTH(Sales_tbl[[#This Row],[Order_Date]])</f>
        <v>4</v>
      </c>
      <c r="N69" s="1">
        <f>YEAR(Sales_tbl[[#This Row],[Order_Date]])</f>
        <v>2025</v>
      </c>
      <c r="O69" s="4">
        <f>IFERROR(Sales_tbl[[#This Row],[Profit]]/Sales_tbl[[#This Row],[Revenue]],0)</f>
        <v>0.35714285714285715</v>
      </c>
      <c r="P69" s="1" t="str">
        <f>IF(Sales_tbl[[#This Row],[Profit]]&gt;2000, "Yes", "No")</f>
        <v>No</v>
      </c>
    </row>
    <row r="70" spans="1:16" x14ac:dyDescent="0.35">
      <c r="A70" t="s">
        <v>157</v>
      </c>
      <c r="B70" s="2" t="s">
        <v>158</v>
      </c>
      <c r="C70" t="s">
        <v>23</v>
      </c>
      <c r="D70" t="s">
        <v>26</v>
      </c>
      <c r="E70" t="s">
        <v>35</v>
      </c>
      <c r="F70" t="s">
        <v>36</v>
      </c>
      <c r="G70" s="1">
        <v>11</v>
      </c>
      <c r="H70" s="1">
        <v>90</v>
      </c>
      <c r="I70" s="3">
        <v>990</v>
      </c>
      <c r="J70" s="3">
        <v>550</v>
      </c>
      <c r="K70" s="3">
        <v>440</v>
      </c>
      <c r="L70" s="1" t="str">
        <f>TEXT(Sales_tbl[[#This Row],[Order_Date]],"mmm")</f>
        <v>Jun</v>
      </c>
      <c r="M70" s="1">
        <f>MONTH(Sales_tbl[[#This Row],[Order_Date]])</f>
        <v>6</v>
      </c>
      <c r="N70" s="1">
        <f>YEAR(Sales_tbl[[#This Row],[Order_Date]])</f>
        <v>2025</v>
      </c>
      <c r="O70" s="4">
        <f>IFERROR(Sales_tbl[[#This Row],[Profit]]/Sales_tbl[[#This Row],[Revenue]],0)</f>
        <v>0.44444444444444442</v>
      </c>
      <c r="P70" s="1" t="str">
        <f>IF(Sales_tbl[[#This Row],[Profit]]&gt;2000, "Yes", "No")</f>
        <v>No</v>
      </c>
    </row>
    <row r="71" spans="1:16" x14ac:dyDescent="0.35">
      <c r="A71" t="s">
        <v>159</v>
      </c>
      <c r="B71" s="2" t="s">
        <v>84</v>
      </c>
      <c r="C71" t="s">
        <v>31</v>
      </c>
      <c r="D71" t="s">
        <v>32</v>
      </c>
      <c r="E71" t="s">
        <v>28</v>
      </c>
      <c r="F71" t="s">
        <v>20</v>
      </c>
      <c r="G71" s="1">
        <v>7</v>
      </c>
      <c r="H71" s="1">
        <v>220</v>
      </c>
      <c r="I71" s="3">
        <v>1540</v>
      </c>
      <c r="J71" s="3">
        <v>1050</v>
      </c>
      <c r="K71" s="3">
        <v>490</v>
      </c>
      <c r="L71" s="1" t="str">
        <f>TEXT(Sales_tbl[[#This Row],[Order_Date]],"mmm")</f>
        <v>May</v>
      </c>
      <c r="M71" s="1">
        <f>MONTH(Sales_tbl[[#This Row],[Order_Date]])</f>
        <v>5</v>
      </c>
      <c r="N71" s="1">
        <f>YEAR(Sales_tbl[[#This Row],[Order_Date]])</f>
        <v>2025</v>
      </c>
      <c r="O71" s="4">
        <f>IFERROR(Sales_tbl[[#This Row],[Profit]]/Sales_tbl[[#This Row],[Revenue]],0)</f>
        <v>0.31818181818181818</v>
      </c>
      <c r="P71" s="1" t="str">
        <f>IF(Sales_tbl[[#This Row],[Profit]]&gt;2000, "Yes", "No")</f>
        <v>No</v>
      </c>
    </row>
    <row r="72" spans="1:16" x14ac:dyDescent="0.35">
      <c r="A72" t="s">
        <v>160</v>
      </c>
      <c r="B72" s="2" t="s">
        <v>161</v>
      </c>
      <c r="C72" t="s">
        <v>18</v>
      </c>
      <c r="D72" t="s">
        <v>60</v>
      </c>
      <c r="E72" t="s">
        <v>28</v>
      </c>
      <c r="F72" t="s">
        <v>20</v>
      </c>
      <c r="G72" s="1">
        <v>20</v>
      </c>
      <c r="H72" s="1">
        <v>220</v>
      </c>
      <c r="I72" s="3">
        <v>4400</v>
      </c>
      <c r="J72" s="3">
        <v>3000</v>
      </c>
      <c r="K72" s="3">
        <v>1400</v>
      </c>
      <c r="L72" s="1" t="str">
        <f>TEXT(Sales_tbl[[#This Row],[Order_Date]],"mmm")</f>
        <v>Aug</v>
      </c>
      <c r="M72" s="1">
        <f>MONTH(Sales_tbl[[#This Row],[Order_Date]])</f>
        <v>8</v>
      </c>
      <c r="N72" s="1">
        <f>YEAR(Sales_tbl[[#This Row],[Order_Date]])</f>
        <v>2025</v>
      </c>
      <c r="O72" s="4">
        <f>IFERROR(Sales_tbl[[#This Row],[Profit]]/Sales_tbl[[#This Row],[Revenue]],0)</f>
        <v>0.31818181818181818</v>
      </c>
      <c r="P72" s="1" t="str">
        <f>IF(Sales_tbl[[#This Row],[Profit]]&gt;2000, "Yes", "No")</f>
        <v>No</v>
      </c>
    </row>
    <row r="73" spans="1:16" x14ac:dyDescent="0.35">
      <c r="A73" t="s">
        <v>162</v>
      </c>
      <c r="B73" s="2" t="s">
        <v>120</v>
      </c>
      <c r="C73" t="s">
        <v>12</v>
      </c>
      <c r="D73" t="s">
        <v>39</v>
      </c>
      <c r="E73" t="s">
        <v>28</v>
      </c>
      <c r="F73" t="s">
        <v>20</v>
      </c>
      <c r="G73" s="1">
        <v>4</v>
      </c>
      <c r="H73" s="1">
        <v>220</v>
      </c>
      <c r="I73" s="3">
        <v>880</v>
      </c>
      <c r="J73" s="3">
        <v>600</v>
      </c>
      <c r="K73" s="3">
        <v>280</v>
      </c>
      <c r="L73" s="1" t="str">
        <f>TEXT(Sales_tbl[[#This Row],[Order_Date]],"mmm")</f>
        <v>Jan</v>
      </c>
      <c r="M73" s="1">
        <f>MONTH(Sales_tbl[[#This Row],[Order_Date]])</f>
        <v>1</v>
      </c>
      <c r="N73" s="1">
        <f>YEAR(Sales_tbl[[#This Row],[Order_Date]])</f>
        <v>2025</v>
      </c>
      <c r="O73" s="4">
        <f>IFERROR(Sales_tbl[[#This Row],[Profit]]/Sales_tbl[[#This Row],[Revenue]],0)</f>
        <v>0.31818181818181818</v>
      </c>
      <c r="P73" s="1" t="str">
        <f>IF(Sales_tbl[[#This Row],[Profit]]&gt;2000, "Yes", "No")</f>
        <v>No</v>
      </c>
    </row>
    <row r="74" spans="1:16" x14ac:dyDescent="0.35">
      <c r="A74" t="s">
        <v>163</v>
      </c>
      <c r="B74" s="2" t="s">
        <v>164</v>
      </c>
      <c r="C74" t="s">
        <v>12</v>
      </c>
      <c r="D74" t="s">
        <v>13</v>
      </c>
      <c r="E74" t="s">
        <v>57</v>
      </c>
      <c r="F74" t="s">
        <v>15</v>
      </c>
      <c r="G74" s="1">
        <v>18</v>
      </c>
      <c r="H74" s="1">
        <v>300</v>
      </c>
      <c r="I74" s="3">
        <v>5400</v>
      </c>
      <c r="J74" s="3">
        <v>3960</v>
      </c>
      <c r="K74" s="3">
        <v>1440</v>
      </c>
      <c r="L74" s="1" t="str">
        <f>TEXT(Sales_tbl[[#This Row],[Order_Date]],"mmm")</f>
        <v>Jan</v>
      </c>
      <c r="M74" s="1">
        <f>MONTH(Sales_tbl[[#This Row],[Order_Date]])</f>
        <v>1</v>
      </c>
      <c r="N74" s="1">
        <f>YEAR(Sales_tbl[[#This Row],[Order_Date]])</f>
        <v>2025</v>
      </c>
      <c r="O74" s="4">
        <f>IFERROR(Sales_tbl[[#This Row],[Profit]]/Sales_tbl[[#This Row],[Revenue]],0)</f>
        <v>0.26666666666666666</v>
      </c>
      <c r="P74" s="1" t="str">
        <f>IF(Sales_tbl[[#This Row],[Profit]]&gt;2000, "Yes", "No")</f>
        <v>No</v>
      </c>
    </row>
    <row r="75" spans="1:16" x14ac:dyDescent="0.35">
      <c r="A75" t="s">
        <v>165</v>
      </c>
      <c r="B75" s="2" t="s">
        <v>65</v>
      </c>
      <c r="C75" t="s">
        <v>18</v>
      </c>
      <c r="D75" t="s">
        <v>54</v>
      </c>
      <c r="E75" t="s">
        <v>19</v>
      </c>
      <c r="F75" t="s">
        <v>20</v>
      </c>
      <c r="G75" s="1">
        <v>11</v>
      </c>
      <c r="H75" s="1">
        <v>140</v>
      </c>
      <c r="I75" s="3">
        <v>1540</v>
      </c>
      <c r="J75" s="3">
        <v>990</v>
      </c>
      <c r="K75" s="3">
        <v>550</v>
      </c>
      <c r="L75" s="1" t="str">
        <f>TEXT(Sales_tbl[[#This Row],[Order_Date]],"mmm")</f>
        <v>Jan</v>
      </c>
      <c r="M75" s="1">
        <f>MONTH(Sales_tbl[[#This Row],[Order_Date]])</f>
        <v>1</v>
      </c>
      <c r="N75" s="1">
        <f>YEAR(Sales_tbl[[#This Row],[Order_Date]])</f>
        <v>2025</v>
      </c>
      <c r="O75" s="4">
        <f>IFERROR(Sales_tbl[[#This Row],[Profit]]/Sales_tbl[[#This Row],[Revenue]],0)</f>
        <v>0.35714285714285715</v>
      </c>
      <c r="P75" s="1" t="str">
        <f>IF(Sales_tbl[[#This Row],[Profit]]&gt;2000, "Yes", "No")</f>
        <v>No</v>
      </c>
    </row>
    <row r="76" spans="1:16" x14ac:dyDescent="0.35">
      <c r="A76" t="s">
        <v>166</v>
      </c>
      <c r="B76" s="2" t="s">
        <v>167</v>
      </c>
      <c r="C76" t="s">
        <v>18</v>
      </c>
      <c r="D76" t="s">
        <v>39</v>
      </c>
      <c r="E76" t="s">
        <v>35</v>
      </c>
      <c r="F76" t="s">
        <v>36</v>
      </c>
      <c r="G76" s="1">
        <v>12</v>
      </c>
      <c r="H76" s="1">
        <v>90</v>
      </c>
      <c r="I76" s="3">
        <v>1080</v>
      </c>
      <c r="J76" s="3">
        <v>600</v>
      </c>
      <c r="K76" s="3">
        <v>480</v>
      </c>
      <c r="L76" s="1" t="str">
        <f>TEXT(Sales_tbl[[#This Row],[Order_Date]],"mmm")</f>
        <v>Jun</v>
      </c>
      <c r="M76" s="1">
        <f>MONTH(Sales_tbl[[#This Row],[Order_Date]])</f>
        <v>6</v>
      </c>
      <c r="N76" s="1">
        <f>YEAR(Sales_tbl[[#This Row],[Order_Date]])</f>
        <v>2025</v>
      </c>
      <c r="O76" s="4">
        <f>IFERROR(Sales_tbl[[#This Row],[Profit]]/Sales_tbl[[#This Row],[Revenue]],0)</f>
        <v>0.44444444444444442</v>
      </c>
      <c r="P76" s="1" t="str">
        <f>IF(Sales_tbl[[#This Row],[Profit]]&gt;2000, "Yes", "No")</f>
        <v>No</v>
      </c>
    </row>
    <row r="77" spans="1:16" x14ac:dyDescent="0.35">
      <c r="A77" t="s">
        <v>168</v>
      </c>
      <c r="B77" s="2" t="s">
        <v>158</v>
      </c>
      <c r="C77" t="s">
        <v>18</v>
      </c>
      <c r="D77" t="s">
        <v>60</v>
      </c>
      <c r="E77" t="s">
        <v>14</v>
      </c>
      <c r="F77" t="s">
        <v>15</v>
      </c>
      <c r="G77" s="1">
        <v>16</v>
      </c>
      <c r="H77" s="1">
        <v>600</v>
      </c>
      <c r="I77" s="3">
        <v>9600</v>
      </c>
      <c r="J77" s="3">
        <v>6880</v>
      </c>
      <c r="K77" s="3">
        <v>2720</v>
      </c>
      <c r="L77" s="1" t="str">
        <f>TEXT(Sales_tbl[[#This Row],[Order_Date]],"mmm")</f>
        <v>Jun</v>
      </c>
      <c r="M77" s="1">
        <f>MONTH(Sales_tbl[[#This Row],[Order_Date]])</f>
        <v>6</v>
      </c>
      <c r="N77" s="1">
        <f>YEAR(Sales_tbl[[#This Row],[Order_Date]])</f>
        <v>2025</v>
      </c>
      <c r="O77" s="4">
        <f>IFERROR(Sales_tbl[[#This Row],[Profit]]/Sales_tbl[[#This Row],[Revenue]],0)</f>
        <v>0.28333333333333333</v>
      </c>
      <c r="P77" s="1" t="str">
        <f>IF(Sales_tbl[[#This Row],[Profit]]&gt;2000, "Yes", "No")</f>
        <v>Yes</v>
      </c>
    </row>
    <row r="78" spans="1:16" x14ac:dyDescent="0.35">
      <c r="A78" t="s">
        <v>169</v>
      </c>
      <c r="B78" s="2" t="s">
        <v>170</v>
      </c>
      <c r="C78" t="s">
        <v>23</v>
      </c>
      <c r="D78" t="s">
        <v>60</v>
      </c>
      <c r="E78" t="s">
        <v>63</v>
      </c>
      <c r="F78" t="s">
        <v>15</v>
      </c>
      <c r="G78" s="1">
        <v>17</v>
      </c>
      <c r="H78" s="1">
        <v>850</v>
      </c>
      <c r="I78" s="3">
        <v>14450</v>
      </c>
      <c r="J78" s="3">
        <v>11050</v>
      </c>
      <c r="K78" s="3">
        <v>3400</v>
      </c>
      <c r="L78" s="1" t="str">
        <f>TEXT(Sales_tbl[[#This Row],[Order_Date]],"mmm")</f>
        <v>Feb</v>
      </c>
      <c r="M78" s="1">
        <f>MONTH(Sales_tbl[[#This Row],[Order_Date]])</f>
        <v>2</v>
      </c>
      <c r="N78" s="1">
        <f>YEAR(Sales_tbl[[#This Row],[Order_Date]])</f>
        <v>2025</v>
      </c>
      <c r="O78" s="4">
        <f>IFERROR(Sales_tbl[[#This Row],[Profit]]/Sales_tbl[[#This Row],[Revenue]],0)</f>
        <v>0.23529411764705882</v>
      </c>
      <c r="P78" s="1" t="str">
        <f>IF(Sales_tbl[[#This Row],[Profit]]&gt;2000, "Yes", "No")</f>
        <v>Yes</v>
      </c>
    </row>
    <row r="79" spans="1:16" x14ac:dyDescent="0.35">
      <c r="A79" t="s">
        <v>171</v>
      </c>
      <c r="B79" s="2" t="s">
        <v>172</v>
      </c>
      <c r="C79" t="s">
        <v>31</v>
      </c>
      <c r="D79" t="s">
        <v>32</v>
      </c>
      <c r="E79" t="s">
        <v>14</v>
      </c>
      <c r="F79" t="s">
        <v>15</v>
      </c>
      <c r="G79" s="1">
        <v>12</v>
      </c>
      <c r="H79" s="1">
        <v>600</v>
      </c>
      <c r="I79" s="3">
        <v>7200</v>
      </c>
      <c r="J79" s="3">
        <v>5160</v>
      </c>
      <c r="K79" s="3">
        <v>2040</v>
      </c>
      <c r="L79" s="1" t="str">
        <f>TEXT(Sales_tbl[[#This Row],[Order_Date]],"mmm")</f>
        <v>Apr</v>
      </c>
      <c r="M79" s="1">
        <f>MONTH(Sales_tbl[[#This Row],[Order_Date]])</f>
        <v>4</v>
      </c>
      <c r="N79" s="1">
        <f>YEAR(Sales_tbl[[#This Row],[Order_Date]])</f>
        <v>2025</v>
      </c>
      <c r="O79" s="4">
        <f>IFERROR(Sales_tbl[[#This Row],[Profit]]/Sales_tbl[[#This Row],[Revenue]],0)</f>
        <v>0.28333333333333333</v>
      </c>
      <c r="P79" s="1" t="str">
        <f>IF(Sales_tbl[[#This Row],[Profit]]&gt;2000, "Yes", "No")</f>
        <v>Yes</v>
      </c>
    </row>
    <row r="80" spans="1:16" x14ac:dyDescent="0.35">
      <c r="A80" t="s">
        <v>173</v>
      </c>
      <c r="B80" s="2" t="s">
        <v>174</v>
      </c>
      <c r="C80" t="s">
        <v>12</v>
      </c>
      <c r="D80" t="s">
        <v>32</v>
      </c>
      <c r="E80" t="s">
        <v>35</v>
      </c>
      <c r="F80" t="s">
        <v>36</v>
      </c>
      <c r="G80" s="1">
        <v>17</v>
      </c>
      <c r="H80" s="1">
        <v>90</v>
      </c>
      <c r="I80" s="3">
        <v>1530</v>
      </c>
      <c r="J80" s="3">
        <v>850</v>
      </c>
      <c r="K80" s="3">
        <v>680</v>
      </c>
      <c r="L80" s="1" t="str">
        <f>TEXT(Sales_tbl[[#This Row],[Order_Date]],"mmm")</f>
        <v>Jul</v>
      </c>
      <c r="M80" s="1">
        <f>MONTH(Sales_tbl[[#This Row],[Order_Date]])</f>
        <v>7</v>
      </c>
      <c r="N80" s="1">
        <f>YEAR(Sales_tbl[[#This Row],[Order_Date]])</f>
        <v>2025</v>
      </c>
      <c r="O80" s="4">
        <f>IFERROR(Sales_tbl[[#This Row],[Profit]]/Sales_tbl[[#This Row],[Revenue]],0)</f>
        <v>0.44444444444444442</v>
      </c>
      <c r="P80" s="1" t="str">
        <f>IF(Sales_tbl[[#This Row],[Profit]]&gt;2000, "Yes", "No")</f>
        <v>No</v>
      </c>
    </row>
    <row r="81" spans="1:16" x14ac:dyDescent="0.35">
      <c r="A81" t="s">
        <v>175</v>
      </c>
      <c r="B81" s="2" t="s">
        <v>176</v>
      </c>
      <c r="C81" t="s">
        <v>31</v>
      </c>
      <c r="D81" t="s">
        <v>32</v>
      </c>
      <c r="E81" t="s">
        <v>28</v>
      </c>
      <c r="F81" t="s">
        <v>20</v>
      </c>
      <c r="G81" s="1">
        <v>17</v>
      </c>
      <c r="H81" s="1">
        <v>220</v>
      </c>
      <c r="I81" s="3">
        <v>3740</v>
      </c>
      <c r="J81" s="3">
        <v>2550</v>
      </c>
      <c r="K81" s="3">
        <v>1190</v>
      </c>
      <c r="L81" s="1" t="str">
        <f>TEXT(Sales_tbl[[#This Row],[Order_Date]],"mmm")</f>
        <v>Feb</v>
      </c>
      <c r="M81" s="1">
        <f>MONTH(Sales_tbl[[#This Row],[Order_Date]])</f>
        <v>2</v>
      </c>
      <c r="N81" s="1">
        <f>YEAR(Sales_tbl[[#This Row],[Order_Date]])</f>
        <v>2025</v>
      </c>
      <c r="O81" s="4">
        <f>IFERROR(Sales_tbl[[#This Row],[Profit]]/Sales_tbl[[#This Row],[Revenue]],0)</f>
        <v>0.31818181818181818</v>
      </c>
      <c r="P81" s="1" t="str">
        <f>IF(Sales_tbl[[#This Row],[Profit]]&gt;2000, "Yes", "No")</f>
        <v>No</v>
      </c>
    </row>
    <row r="82" spans="1:16" x14ac:dyDescent="0.35">
      <c r="A82" t="s">
        <v>177</v>
      </c>
      <c r="B82" s="2" t="s">
        <v>178</v>
      </c>
      <c r="C82" t="s">
        <v>31</v>
      </c>
      <c r="D82" t="s">
        <v>39</v>
      </c>
      <c r="E82" t="s">
        <v>19</v>
      </c>
      <c r="F82" t="s">
        <v>20</v>
      </c>
      <c r="G82" s="1">
        <v>10</v>
      </c>
      <c r="H82" s="1">
        <v>140</v>
      </c>
      <c r="I82" s="3">
        <v>1400</v>
      </c>
      <c r="J82" s="3">
        <v>900</v>
      </c>
      <c r="K82" s="3">
        <v>500</v>
      </c>
      <c r="L82" s="1" t="str">
        <f>TEXT(Sales_tbl[[#This Row],[Order_Date]],"mmm")</f>
        <v>Sep</v>
      </c>
      <c r="M82" s="1">
        <f>MONTH(Sales_tbl[[#This Row],[Order_Date]])</f>
        <v>9</v>
      </c>
      <c r="N82" s="1">
        <f>YEAR(Sales_tbl[[#This Row],[Order_Date]])</f>
        <v>2025</v>
      </c>
      <c r="O82" s="4">
        <f>IFERROR(Sales_tbl[[#This Row],[Profit]]/Sales_tbl[[#This Row],[Revenue]],0)</f>
        <v>0.35714285714285715</v>
      </c>
      <c r="P82" s="1" t="str">
        <f>IF(Sales_tbl[[#This Row],[Profit]]&gt;2000, "Yes", "No")</f>
        <v>No</v>
      </c>
    </row>
    <row r="83" spans="1:16" x14ac:dyDescent="0.35">
      <c r="A83" t="s">
        <v>179</v>
      </c>
      <c r="B83" s="2" t="s">
        <v>53</v>
      </c>
      <c r="C83" t="s">
        <v>18</v>
      </c>
      <c r="D83" t="s">
        <v>32</v>
      </c>
      <c r="E83" t="s">
        <v>63</v>
      </c>
      <c r="F83" t="s">
        <v>15</v>
      </c>
      <c r="G83" s="1">
        <v>15</v>
      </c>
      <c r="H83" s="1">
        <v>850</v>
      </c>
      <c r="I83" s="3">
        <v>12750</v>
      </c>
      <c r="J83" s="3">
        <v>9750</v>
      </c>
      <c r="K83" s="3">
        <v>3000</v>
      </c>
      <c r="L83" s="1" t="str">
        <f>TEXT(Sales_tbl[[#This Row],[Order_Date]],"mmm")</f>
        <v>Dec</v>
      </c>
      <c r="M83" s="1">
        <f>MONTH(Sales_tbl[[#This Row],[Order_Date]])</f>
        <v>12</v>
      </c>
      <c r="N83" s="1">
        <f>YEAR(Sales_tbl[[#This Row],[Order_Date]])</f>
        <v>2025</v>
      </c>
      <c r="O83" s="4">
        <f>IFERROR(Sales_tbl[[#This Row],[Profit]]/Sales_tbl[[#This Row],[Revenue]],0)</f>
        <v>0.23529411764705882</v>
      </c>
      <c r="P83" s="1" t="str">
        <f>IF(Sales_tbl[[#This Row],[Profit]]&gt;2000, "Yes", "No")</f>
        <v>Yes</v>
      </c>
    </row>
    <row r="84" spans="1:16" x14ac:dyDescent="0.35">
      <c r="A84" t="s">
        <v>180</v>
      </c>
      <c r="B84" s="2" t="s">
        <v>71</v>
      </c>
      <c r="C84" t="s">
        <v>31</v>
      </c>
      <c r="D84" t="s">
        <v>39</v>
      </c>
      <c r="E84" t="s">
        <v>35</v>
      </c>
      <c r="F84" t="s">
        <v>36</v>
      </c>
      <c r="G84" s="1">
        <v>11</v>
      </c>
      <c r="H84" s="1">
        <v>90</v>
      </c>
      <c r="I84" s="3">
        <v>990</v>
      </c>
      <c r="J84" s="3">
        <v>550</v>
      </c>
      <c r="K84" s="3">
        <v>440</v>
      </c>
      <c r="L84" s="1" t="str">
        <f>TEXT(Sales_tbl[[#This Row],[Order_Date]],"mmm")</f>
        <v>Apr</v>
      </c>
      <c r="M84" s="1">
        <f>MONTH(Sales_tbl[[#This Row],[Order_Date]])</f>
        <v>4</v>
      </c>
      <c r="N84" s="1">
        <f>YEAR(Sales_tbl[[#This Row],[Order_Date]])</f>
        <v>2025</v>
      </c>
      <c r="O84" s="4">
        <f>IFERROR(Sales_tbl[[#This Row],[Profit]]/Sales_tbl[[#This Row],[Revenue]],0)</f>
        <v>0.44444444444444442</v>
      </c>
      <c r="P84" s="1" t="str">
        <f>IF(Sales_tbl[[#This Row],[Profit]]&gt;2000, "Yes", "No")</f>
        <v>No</v>
      </c>
    </row>
    <row r="85" spans="1:16" x14ac:dyDescent="0.35">
      <c r="A85" t="s">
        <v>181</v>
      </c>
      <c r="B85" s="2" t="s">
        <v>182</v>
      </c>
      <c r="C85" t="s">
        <v>31</v>
      </c>
      <c r="D85" t="s">
        <v>54</v>
      </c>
      <c r="E85" t="s">
        <v>63</v>
      </c>
      <c r="F85" t="s">
        <v>15</v>
      </c>
      <c r="G85" s="1">
        <v>7</v>
      </c>
      <c r="H85" s="1">
        <v>850</v>
      </c>
      <c r="I85" s="3">
        <v>5950</v>
      </c>
      <c r="J85" s="3">
        <v>4550</v>
      </c>
      <c r="K85" s="3">
        <v>1400</v>
      </c>
      <c r="L85" s="1" t="str">
        <f>TEXT(Sales_tbl[[#This Row],[Order_Date]],"mmm")</f>
        <v>Sep</v>
      </c>
      <c r="M85" s="1">
        <f>MONTH(Sales_tbl[[#This Row],[Order_Date]])</f>
        <v>9</v>
      </c>
      <c r="N85" s="1">
        <f>YEAR(Sales_tbl[[#This Row],[Order_Date]])</f>
        <v>2025</v>
      </c>
      <c r="O85" s="4">
        <f>IFERROR(Sales_tbl[[#This Row],[Profit]]/Sales_tbl[[#This Row],[Revenue]],0)</f>
        <v>0.23529411764705882</v>
      </c>
      <c r="P85" s="1" t="str">
        <f>IF(Sales_tbl[[#This Row],[Profit]]&gt;2000, "Yes", "No")</f>
        <v>No</v>
      </c>
    </row>
    <row r="86" spans="1:16" x14ac:dyDescent="0.35">
      <c r="A86" t="s">
        <v>183</v>
      </c>
      <c r="B86" s="2" t="s">
        <v>184</v>
      </c>
      <c r="C86" t="s">
        <v>31</v>
      </c>
      <c r="D86" t="s">
        <v>60</v>
      </c>
      <c r="E86" t="s">
        <v>19</v>
      </c>
      <c r="F86" t="s">
        <v>20</v>
      </c>
      <c r="G86" s="1">
        <v>5</v>
      </c>
      <c r="H86" s="1">
        <v>140</v>
      </c>
      <c r="I86" s="3">
        <v>700</v>
      </c>
      <c r="J86" s="3">
        <v>450</v>
      </c>
      <c r="K86" s="3">
        <v>250</v>
      </c>
      <c r="L86" s="1" t="str">
        <f>TEXT(Sales_tbl[[#This Row],[Order_Date]],"mmm")</f>
        <v>Jul</v>
      </c>
      <c r="M86" s="1">
        <f>MONTH(Sales_tbl[[#This Row],[Order_Date]])</f>
        <v>7</v>
      </c>
      <c r="N86" s="1">
        <f>YEAR(Sales_tbl[[#This Row],[Order_Date]])</f>
        <v>2025</v>
      </c>
      <c r="O86" s="4">
        <f>IFERROR(Sales_tbl[[#This Row],[Profit]]/Sales_tbl[[#This Row],[Revenue]],0)</f>
        <v>0.35714285714285715</v>
      </c>
      <c r="P86" s="1" t="str">
        <f>IF(Sales_tbl[[#This Row],[Profit]]&gt;2000, "Yes", "No")</f>
        <v>No</v>
      </c>
    </row>
    <row r="87" spans="1:16" x14ac:dyDescent="0.35">
      <c r="A87" t="s">
        <v>185</v>
      </c>
      <c r="B87" s="2" t="s">
        <v>186</v>
      </c>
      <c r="C87" t="s">
        <v>31</v>
      </c>
      <c r="D87" t="s">
        <v>54</v>
      </c>
      <c r="E87" t="s">
        <v>35</v>
      </c>
      <c r="F87" t="s">
        <v>36</v>
      </c>
      <c r="G87" s="1">
        <v>4</v>
      </c>
      <c r="H87" s="1">
        <v>90</v>
      </c>
      <c r="I87" s="3">
        <v>360</v>
      </c>
      <c r="J87" s="3">
        <v>200</v>
      </c>
      <c r="K87" s="3">
        <v>160</v>
      </c>
      <c r="L87" s="1" t="str">
        <f>TEXT(Sales_tbl[[#This Row],[Order_Date]],"mmm")</f>
        <v>Apr</v>
      </c>
      <c r="M87" s="1">
        <f>MONTH(Sales_tbl[[#This Row],[Order_Date]])</f>
        <v>4</v>
      </c>
      <c r="N87" s="1">
        <f>YEAR(Sales_tbl[[#This Row],[Order_Date]])</f>
        <v>2025</v>
      </c>
      <c r="O87" s="4">
        <f>IFERROR(Sales_tbl[[#This Row],[Profit]]/Sales_tbl[[#This Row],[Revenue]],0)</f>
        <v>0.44444444444444442</v>
      </c>
      <c r="P87" s="1" t="str">
        <f>IF(Sales_tbl[[#This Row],[Profit]]&gt;2000, "Yes", "No")</f>
        <v>No</v>
      </c>
    </row>
    <row r="88" spans="1:16" x14ac:dyDescent="0.35">
      <c r="A88" t="s">
        <v>187</v>
      </c>
      <c r="B88" s="2" t="s">
        <v>188</v>
      </c>
      <c r="C88" t="s">
        <v>23</v>
      </c>
      <c r="D88" t="s">
        <v>39</v>
      </c>
      <c r="E88" t="s">
        <v>28</v>
      </c>
      <c r="F88" t="s">
        <v>20</v>
      </c>
      <c r="G88" s="1">
        <v>17</v>
      </c>
      <c r="H88" s="1">
        <v>220</v>
      </c>
      <c r="I88" s="3">
        <v>3740</v>
      </c>
      <c r="J88" s="3">
        <v>2550</v>
      </c>
      <c r="K88" s="3">
        <v>1190</v>
      </c>
      <c r="L88" s="1" t="str">
        <f>TEXT(Sales_tbl[[#This Row],[Order_Date]],"mmm")</f>
        <v>Jul</v>
      </c>
      <c r="M88" s="1">
        <f>MONTH(Sales_tbl[[#This Row],[Order_Date]])</f>
        <v>7</v>
      </c>
      <c r="N88" s="1">
        <f>YEAR(Sales_tbl[[#This Row],[Order_Date]])</f>
        <v>2025</v>
      </c>
      <c r="O88" s="4">
        <f>IFERROR(Sales_tbl[[#This Row],[Profit]]/Sales_tbl[[#This Row],[Revenue]],0)</f>
        <v>0.31818181818181818</v>
      </c>
      <c r="P88" s="1" t="str">
        <f>IF(Sales_tbl[[#This Row],[Profit]]&gt;2000, "Yes", "No")</f>
        <v>No</v>
      </c>
    </row>
    <row r="89" spans="1:16" x14ac:dyDescent="0.35">
      <c r="A89" t="s">
        <v>189</v>
      </c>
      <c r="B89" s="2" t="s">
        <v>102</v>
      </c>
      <c r="C89" t="s">
        <v>23</v>
      </c>
      <c r="D89" t="s">
        <v>26</v>
      </c>
      <c r="E89" t="s">
        <v>57</v>
      </c>
      <c r="F89" t="s">
        <v>15</v>
      </c>
      <c r="G89" s="1">
        <v>1</v>
      </c>
      <c r="H89" s="1">
        <v>300</v>
      </c>
      <c r="I89" s="3">
        <v>300</v>
      </c>
      <c r="J89" s="3">
        <v>220</v>
      </c>
      <c r="K89" s="3">
        <v>80</v>
      </c>
      <c r="L89" s="1" t="str">
        <f>TEXT(Sales_tbl[[#This Row],[Order_Date]],"mmm")</f>
        <v>Jun</v>
      </c>
      <c r="M89" s="1">
        <f>MONTH(Sales_tbl[[#This Row],[Order_Date]])</f>
        <v>6</v>
      </c>
      <c r="N89" s="1">
        <f>YEAR(Sales_tbl[[#This Row],[Order_Date]])</f>
        <v>2025</v>
      </c>
      <c r="O89" s="4">
        <f>IFERROR(Sales_tbl[[#This Row],[Profit]]/Sales_tbl[[#This Row],[Revenue]],0)</f>
        <v>0.26666666666666666</v>
      </c>
      <c r="P89" s="1" t="str">
        <f>IF(Sales_tbl[[#This Row],[Profit]]&gt;2000, "Yes", "No")</f>
        <v>No</v>
      </c>
    </row>
    <row r="90" spans="1:16" x14ac:dyDescent="0.35">
      <c r="A90" t="s">
        <v>190</v>
      </c>
      <c r="B90" s="2" t="s">
        <v>191</v>
      </c>
      <c r="C90" t="s">
        <v>18</v>
      </c>
      <c r="D90" t="s">
        <v>60</v>
      </c>
      <c r="E90" t="s">
        <v>63</v>
      </c>
      <c r="F90" t="s">
        <v>15</v>
      </c>
      <c r="G90" s="1">
        <v>5</v>
      </c>
      <c r="H90" s="1">
        <v>850</v>
      </c>
      <c r="I90" s="3">
        <v>4250</v>
      </c>
      <c r="J90" s="3">
        <v>3250</v>
      </c>
      <c r="K90" s="3">
        <v>1000</v>
      </c>
      <c r="L90" s="1" t="str">
        <f>TEXT(Sales_tbl[[#This Row],[Order_Date]],"mmm")</f>
        <v>Dec</v>
      </c>
      <c r="M90" s="1">
        <f>MONTH(Sales_tbl[[#This Row],[Order_Date]])</f>
        <v>12</v>
      </c>
      <c r="N90" s="1">
        <f>YEAR(Sales_tbl[[#This Row],[Order_Date]])</f>
        <v>2025</v>
      </c>
      <c r="O90" s="4">
        <f>IFERROR(Sales_tbl[[#This Row],[Profit]]/Sales_tbl[[#This Row],[Revenue]],0)</f>
        <v>0.23529411764705882</v>
      </c>
      <c r="P90" s="1" t="str">
        <f>IF(Sales_tbl[[#This Row],[Profit]]&gt;2000, "Yes", "No")</f>
        <v>No</v>
      </c>
    </row>
    <row r="91" spans="1:16" x14ac:dyDescent="0.35">
      <c r="A91" t="s">
        <v>192</v>
      </c>
      <c r="B91" s="2" t="s">
        <v>193</v>
      </c>
      <c r="C91" t="s">
        <v>23</v>
      </c>
      <c r="D91" t="s">
        <v>60</v>
      </c>
      <c r="E91" t="s">
        <v>63</v>
      </c>
      <c r="F91" t="s">
        <v>15</v>
      </c>
      <c r="G91" s="1">
        <v>12</v>
      </c>
      <c r="H91" s="1">
        <v>850</v>
      </c>
      <c r="I91" s="3">
        <v>10200</v>
      </c>
      <c r="J91" s="3">
        <v>7800</v>
      </c>
      <c r="K91" s="3">
        <v>2400</v>
      </c>
      <c r="L91" s="1" t="str">
        <f>TEXT(Sales_tbl[[#This Row],[Order_Date]],"mmm")</f>
        <v>Jul</v>
      </c>
      <c r="M91" s="1">
        <f>MONTH(Sales_tbl[[#This Row],[Order_Date]])</f>
        <v>7</v>
      </c>
      <c r="N91" s="1">
        <f>YEAR(Sales_tbl[[#This Row],[Order_Date]])</f>
        <v>2025</v>
      </c>
      <c r="O91" s="4">
        <f>IFERROR(Sales_tbl[[#This Row],[Profit]]/Sales_tbl[[#This Row],[Revenue]],0)</f>
        <v>0.23529411764705882</v>
      </c>
      <c r="P91" s="1" t="str">
        <f>IF(Sales_tbl[[#This Row],[Profit]]&gt;2000, "Yes", "No")</f>
        <v>Yes</v>
      </c>
    </row>
    <row r="92" spans="1:16" x14ac:dyDescent="0.35">
      <c r="A92" t="s">
        <v>194</v>
      </c>
      <c r="B92" s="2" t="s">
        <v>195</v>
      </c>
      <c r="C92" t="s">
        <v>31</v>
      </c>
      <c r="D92" t="s">
        <v>32</v>
      </c>
      <c r="E92" t="s">
        <v>14</v>
      </c>
      <c r="F92" t="s">
        <v>15</v>
      </c>
      <c r="G92" s="1">
        <v>1</v>
      </c>
      <c r="H92" s="1">
        <v>600</v>
      </c>
      <c r="I92" s="3">
        <v>600</v>
      </c>
      <c r="J92" s="3">
        <v>430</v>
      </c>
      <c r="K92" s="3">
        <v>170</v>
      </c>
      <c r="L92" s="1" t="str">
        <f>TEXT(Sales_tbl[[#This Row],[Order_Date]],"mmm")</f>
        <v>Apr</v>
      </c>
      <c r="M92" s="1">
        <f>MONTH(Sales_tbl[[#This Row],[Order_Date]])</f>
        <v>4</v>
      </c>
      <c r="N92" s="1">
        <f>YEAR(Sales_tbl[[#This Row],[Order_Date]])</f>
        <v>2025</v>
      </c>
      <c r="O92" s="4">
        <f>IFERROR(Sales_tbl[[#This Row],[Profit]]/Sales_tbl[[#This Row],[Revenue]],0)</f>
        <v>0.28333333333333333</v>
      </c>
      <c r="P92" s="1" t="str">
        <f>IF(Sales_tbl[[#This Row],[Profit]]&gt;2000, "Yes", "No")</f>
        <v>No</v>
      </c>
    </row>
    <row r="93" spans="1:16" x14ac:dyDescent="0.35">
      <c r="A93" t="s">
        <v>196</v>
      </c>
      <c r="B93" s="2" t="s">
        <v>197</v>
      </c>
      <c r="C93" t="s">
        <v>31</v>
      </c>
      <c r="D93" t="s">
        <v>26</v>
      </c>
      <c r="E93" t="s">
        <v>57</v>
      </c>
      <c r="F93" t="s">
        <v>15</v>
      </c>
      <c r="G93" s="1">
        <v>2</v>
      </c>
      <c r="H93" s="1">
        <v>300</v>
      </c>
      <c r="I93" s="3">
        <v>600</v>
      </c>
      <c r="J93" s="3">
        <v>440</v>
      </c>
      <c r="K93" s="3">
        <v>160</v>
      </c>
      <c r="L93" s="1" t="str">
        <f>TEXT(Sales_tbl[[#This Row],[Order_Date]],"mmm")</f>
        <v>Apr</v>
      </c>
      <c r="M93" s="1">
        <f>MONTH(Sales_tbl[[#This Row],[Order_Date]])</f>
        <v>4</v>
      </c>
      <c r="N93" s="1">
        <f>YEAR(Sales_tbl[[#This Row],[Order_Date]])</f>
        <v>2025</v>
      </c>
      <c r="O93" s="4">
        <f>IFERROR(Sales_tbl[[#This Row],[Profit]]/Sales_tbl[[#This Row],[Revenue]],0)</f>
        <v>0.26666666666666666</v>
      </c>
      <c r="P93" s="1" t="str">
        <f>IF(Sales_tbl[[#This Row],[Profit]]&gt;2000, "Yes", "No")</f>
        <v>No</v>
      </c>
    </row>
    <row r="94" spans="1:16" x14ac:dyDescent="0.35">
      <c r="A94" t="s">
        <v>198</v>
      </c>
      <c r="B94" s="2" t="s">
        <v>199</v>
      </c>
      <c r="C94" t="s">
        <v>23</v>
      </c>
      <c r="D94" t="s">
        <v>13</v>
      </c>
      <c r="E94" t="s">
        <v>57</v>
      </c>
      <c r="F94" t="s">
        <v>15</v>
      </c>
      <c r="G94" s="1">
        <v>16</v>
      </c>
      <c r="H94" s="1">
        <v>300</v>
      </c>
      <c r="I94" s="3">
        <v>4800</v>
      </c>
      <c r="J94" s="3">
        <v>3520</v>
      </c>
      <c r="K94" s="3">
        <v>1280</v>
      </c>
      <c r="L94" s="1" t="str">
        <f>TEXT(Sales_tbl[[#This Row],[Order_Date]],"mmm")</f>
        <v>Jun</v>
      </c>
      <c r="M94" s="1">
        <f>MONTH(Sales_tbl[[#This Row],[Order_Date]])</f>
        <v>6</v>
      </c>
      <c r="N94" s="1">
        <f>YEAR(Sales_tbl[[#This Row],[Order_Date]])</f>
        <v>2025</v>
      </c>
      <c r="O94" s="4">
        <f>IFERROR(Sales_tbl[[#This Row],[Profit]]/Sales_tbl[[#This Row],[Revenue]],0)</f>
        <v>0.26666666666666666</v>
      </c>
      <c r="P94" s="1" t="str">
        <f>IF(Sales_tbl[[#This Row],[Profit]]&gt;2000, "Yes", "No")</f>
        <v>No</v>
      </c>
    </row>
    <row r="95" spans="1:16" x14ac:dyDescent="0.35">
      <c r="A95" t="s">
        <v>200</v>
      </c>
      <c r="B95" s="2" t="s">
        <v>116</v>
      </c>
      <c r="C95" t="s">
        <v>23</v>
      </c>
      <c r="D95" t="s">
        <v>26</v>
      </c>
      <c r="E95" t="s">
        <v>28</v>
      </c>
      <c r="F95" t="s">
        <v>20</v>
      </c>
      <c r="G95" s="1">
        <v>10</v>
      </c>
      <c r="H95" s="1">
        <v>220</v>
      </c>
      <c r="I95" s="3">
        <v>2200</v>
      </c>
      <c r="J95" s="3">
        <v>1500</v>
      </c>
      <c r="K95" s="3">
        <v>700</v>
      </c>
      <c r="L95" s="1" t="str">
        <f>TEXT(Sales_tbl[[#This Row],[Order_Date]],"mmm")</f>
        <v>Jul</v>
      </c>
      <c r="M95" s="1">
        <f>MONTH(Sales_tbl[[#This Row],[Order_Date]])</f>
        <v>7</v>
      </c>
      <c r="N95" s="1">
        <f>YEAR(Sales_tbl[[#This Row],[Order_Date]])</f>
        <v>2025</v>
      </c>
      <c r="O95" s="4">
        <f>IFERROR(Sales_tbl[[#This Row],[Profit]]/Sales_tbl[[#This Row],[Revenue]],0)</f>
        <v>0.31818181818181818</v>
      </c>
      <c r="P95" s="1" t="str">
        <f>IF(Sales_tbl[[#This Row],[Profit]]&gt;2000, "Yes", "No")</f>
        <v>No</v>
      </c>
    </row>
    <row r="96" spans="1:16" x14ac:dyDescent="0.35">
      <c r="A96" t="s">
        <v>201</v>
      </c>
      <c r="B96" s="2" t="s">
        <v>202</v>
      </c>
      <c r="C96" t="s">
        <v>23</v>
      </c>
      <c r="D96" t="s">
        <v>32</v>
      </c>
      <c r="E96" t="s">
        <v>35</v>
      </c>
      <c r="F96" t="s">
        <v>36</v>
      </c>
      <c r="G96" s="1">
        <v>13</v>
      </c>
      <c r="H96" s="1">
        <v>90</v>
      </c>
      <c r="I96" s="3">
        <v>1170</v>
      </c>
      <c r="J96" s="3">
        <v>650</v>
      </c>
      <c r="K96" s="3">
        <v>520</v>
      </c>
      <c r="L96" s="1" t="str">
        <f>TEXT(Sales_tbl[[#This Row],[Order_Date]],"mmm")</f>
        <v>Aug</v>
      </c>
      <c r="M96" s="1">
        <f>MONTH(Sales_tbl[[#This Row],[Order_Date]])</f>
        <v>8</v>
      </c>
      <c r="N96" s="1">
        <f>YEAR(Sales_tbl[[#This Row],[Order_Date]])</f>
        <v>2025</v>
      </c>
      <c r="O96" s="4">
        <f>IFERROR(Sales_tbl[[#This Row],[Profit]]/Sales_tbl[[#This Row],[Revenue]],0)</f>
        <v>0.44444444444444442</v>
      </c>
      <c r="P96" s="1" t="str">
        <f>IF(Sales_tbl[[#This Row],[Profit]]&gt;2000, "Yes", "No")</f>
        <v>No</v>
      </c>
    </row>
    <row r="97" spans="1:16" x14ac:dyDescent="0.35">
      <c r="A97" t="s">
        <v>203</v>
      </c>
      <c r="B97" s="2" t="s">
        <v>204</v>
      </c>
      <c r="C97" t="s">
        <v>12</v>
      </c>
      <c r="D97" t="s">
        <v>32</v>
      </c>
      <c r="E97" t="s">
        <v>57</v>
      </c>
      <c r="F97" t="s">
        <v>15</v>
      </c>
      <c r="G97" s="1">
        <v>8</v>
      </c>
      <c r="H97" s="1">
        <v>300</v>
      </c>
      <c r="I97" s="3">
        <v>2400</v>
      </c>
      <c r="J97" s="3">
        <v>1760</v>
      </c>
      <c r="K97" s="3">
        <v>640</v>
      </c>
      <c r="L97" s="1" t="str">
        <f>TEXT(Sales_tbl[[#This Row],[Order_Date]],"mmm")</f>
        <v>Feb</v>
      </c>
      <c r="M97" s="1">
        <f>MONTH(Sales_tbl[[#This Row],[Order_Date]])</f>
        <v>2</v>
      </c>
      <c r="N97" s="1">
        <f>YEAR(Sales_tbl[[#This Row],[Order_Date]])</f>
        <v>2025</v>
      </c>
      <c r="O97" s="4">
        <f>IFERROR(Sales_tbl[[#This Row],[Profit]]/Sales_tbl[[#This Row],[Revenue]],0)</f>
        <v>0.26666666666666666</v>
      </c>
      <c r="P97" s="1" t="str">
        <f>IF(Sales_tbl[[#This Row],[Profit]]&gt;2000, "Yes", "No")</f>
        <v>No</v>
      </c>
    </row>
    <row r="98" spans="1:16" x14ac:dyDescent="0.35">
      <c r="A98" t="s">
        <v>205</v>
      </c>
      <c r="B98" s="2" t="s">
        <v>206</v>
      </c>
      <c r="C98" t="s">
        <v>23</v>
      </c>
      <c r="D98" t="s">
        <v>39</v>
      </c>
      <c r="E98" t="s">
        <v>63</v>
      </c>
      <c r="F98" t="s">
        <v>15</v>
      </c>
      <c r="G98" s="1">
        <v>20</v>
      </c>
      <c r="H98" s="1">
        <v>850</v>
      </c>
      <c r="I98" s="3">
        <v>17000</v>
      </c>
      <c r="J98" s="3">
        <v>13000</v>
      </c>
      <c r="K98" s="3">
        <v>4000</v>
      </c>
      <c r="L98" s="1" t="str">
        <f>TEXT(Sales_tbl[[#This Row],[Order_Date]],"mmm")</f>
        <v>Feb</v>
      </c>
      <c r="M98" s="1">
        <f>MONTH(Sales_tbl[[#This Row],[Order_Date]])</f>
        <v>2</v>
      </c>
      <c r="N98" s="1">
        <f>YEAR(Sales_tbl[[#This Row],[Order_Date]])</f>
        <v>2025</v>
      </c>
      <c r="O98" s="4">
        <f>IFERROR(Sales_tbl[[#This Row],[Profit]]/Sales_tbl[[#This Row],[Revenue]],0)</f>
        <v>0.23529411764705882</v>
      </c>
      <c r="P98" s="1" t="str">
        <f>IF(Sales_tbl[[#This Row],[Profit]]&gt;2000, "Yes", "No")</f>
        <v>Yes</v>
      </c>
    </row>
    <row r="99" spans="1:16" x14ac:dyDescent="0.35">
      <c r="A99" t="s">
        <v>207</v>
      </c>
      <c r="B99" s="2" t="s">
        <v>208</v>
      </c>
      <c r="C99" t="s">
        <v>31</v>
      </c>
      <c r="D99" t="s">
        <v>54</v>
      </c>
      <c r="E99" t="s">
        <v>35</v>
      </c>
      <c r="F99" t="s">
        <v>36</v>
      </c>
      <c r="G99" s="1">
        <v>10</v>
      </c>
      <c r="H99" s="1">
        <v>90</v>
      </c>
      <c r="I99" s="3">
        <v>900</v>
      </c>
      <c r="J99" s="3">
        <v>500</v>
      </c>
      <c r="K99" s="3">
        <v>400</v>
      </c>
      <c r="L99" s="1" t="str">
        <f>TEXT(Sales_tbl[[#This Row],[Order_Date]],"mmm")</f>
        <v>May</v>
      </c>
      <c r="M99" s="1">
        <f>MONTH(Sales_tbl[[#This Row],[Order_Date]])</f>
        <v>5</v>
      </c>
      <c r="N99" s="1">
        <f>YEAR(Sales_tbl[[#This Row],[Order_Date]])</f>
        <v>2025</v>
      </c>
      <c r="O99" s="4">
        <f>IFERROR(Sales_tbl[[#This Row],[Profit]]/Sales_tbl[[#This Row],[Revenue]],0)</f>
        <v>0.44444444444444442</v>
      </c>
      <c r="P99" s="1" t="str">
        <f>IF(Sales_tbl[[#This Row],[Profit]]&gt;2000, "Yes", "No")</f>
        <v>No</v>
      </c>
    </row>
    <row r="100" spans="1:16" x14ac:dyDescent="0.35">
      <c r="A100" t="s">
        <v>209</v>
      </c>
      <c r="B100" s="2" t="s">
        <v>210</v>
      </c>
      <c r="C100" t="s">
        <v>12</v>
      </c>
      <c r="D100" t="s">
        <v>60</v>
      </c>
      <c r="E100" t="s">
        <v>28</v>
      </c>
      <c r="F100" t="s">
        <v>20</v>
      </c>
      <c r="G100" s="1">
        <v>5</v>
      </c>
      <c r="H100" s="1">
        <v>220</v>
      </c>
      <c r="I100" s="3">
        <v>1100</v>
      </c>
      <c r="J100" s="3">
        <v>750</v>
      </c>
      <c r="K100" s="3">
        <v>350</v>
      </c>
      <c r="L100" s="1" t="str">
        <f>TEXT(Sales_tbl[[#This Row],[Order_Date]],"mmm")</f>
        <v>Jun</v>
      </c>
      <c r="M100" s="1">
        <f>MONTH(Sales_tbl[[#This Row],[Order_Date]])</f>
        <v>6</v>
      </c>
      <c r="N100" s="1">
        <f>YEAR(Sales_tbl[[#This Row],[Order_Date]])</f>
        <v>2025</v>
      </c>
      <c r="O100" s="4">
        <f>IFERROR(Sales_tbl[[#This Row],[Profit]]/Sales_tbl[[#This Row],[Revenue]],0)</f>
        <v>0.31818181818181818</v>
      </c>
      <c r="P100" s="1" t="str">
        <f>IF(Sales_tbl[[#This Row],[Profit]]&gt;2000, "Yes", "No")</f>
        <v>No</v>
      </c>
    </row>
    <row r="101" spans="1:16" x14ac:dyDescent="0.35">
      <c r="A101" t="s">
        <v>211</v>
      </c>
      <c r="B101" s="2" t="s">
        <v>212</v>
      </c>
      <c r="C101" t="s">
        <v>18</v>
      </c>
      <c r="D101" t="s">
        <v>60</v>
      </c>
      <c r="E101" t="s">
        <v>63</v>
      </c>
      <c r="F101" t="s">
        <v>15</v>
      </c>
      <c r="G101" s="1">
        <v>3</v>
      </c>
      <c r="H101" s="1">
        <v>850</v>
      </c>
      <c r="I101" s="3">
        <v>2550</v>
      </c>
      <c r="J101" s="3">
        <v>1950</v>
      </c>
      <c r="K101" s="3">
        <v>600</v>
      </c>
      <c r="L101" s="1" t="str">
        <f>TEXT(Sales_tbl[[#This Row],[Order_Date]],"mmm")</f>
        <v>Nov</v>
      </c>
      <c r="M101" s="1">
        <f>MONTH(Sales_tbl[[#This Row],[Order_Date]])</f>
        <v>11</v>
      </c>
      <c r="N101" s="1">
        <f>YEAR(Sales_tbl[[#This Row],[Order_Date]])</f>
        <v>2025</v>
      </c>
      <c r="O101" s="4">
        <f>IFERROR(Sales_tbl[[#This Row],[Profit]]/Sales_tbl[[#This Row],[Revenue]],0)</f>
        <v>0.23529411764705882</v>
      </c>
      <c r="P101" s="1" t="str">
        <f>IF(Sales_tbl[[#This Row],[Profit]]&gt;2000, "Yes", "No")</f>
        <v>No</v>
      </c>
    </row>
    <row r="102" spans="1:16" x14ac:dyDescent="0.35">
      <c r="A102" t="s">
        <v>213</v>
      </c>
      <c r="B102" s="2" t="s">
        <v>214</v>
      </c>
      <c r="C102" t="s">
        <v>31</v>
      </c>
      <c r="D102" t="s">
        <v>39</v>
      </c>
      <c r="E102" t="s">
        <v>63</v>
      </c>
      <c r="F102" t="s">
        <v>15</v>
      </c>
      <c r="G102" s="1">
        <v>5</v>
      </c>
      <c r="H102" s="1">
        <v>850</v>
      </c>
      <c r="I102" s="3">
        <v>4250</v>
      </c>
      <c r="J102" s="3">
        <v>3250</v>
      </c>
      <c r="K102" s="3">
        <v>1000</v>
      </c>
      <c r="L102" s="1" t="str">
        <f>TEXT(Sales_tbl[[#This Row],[Order_Date]],"mmm")</f>
        <v>Dec</v>
      </c>
      <c r="M102" s="1">
        <f>MONTH(Sales_tbl[[#This Row],[Order_Date]])</f>
        <v>12</v>
      </c>
      <c r="N102" s="1">
        <f>YEAR(Sales_tbl[[#This Row],[Order_Date]])</f>
        <v>2025</v>
      </c>
      <c r="O102" s="4">
        <f>IFERROR(Sales_tbl[[#This Row],[Profit]]/Sales_tbl[[#This Row],[Revenue]],0)</f>
        <v>0.23529411764705882</v>
      </c>
      <c r="P102" s="1" t="str">
        <f>IF(Sales_tbl[[#This Row],[Profit]]&gt;2000, "Yes", "No")</f>
        <v>No</v>
      </c>
    </row>
    <row r="103" spans="1:16" x14ac:dyDescent="0.35">
      <c r="A103" t="s">
        <v>215</v>
      </c>
      <c r="B103" s="2" t="s">
        <v>135</v>
      </c>
      <c r="C103" t="s">
        <v>12</v>
      </c>
      <c r="D103" t="s">
        <v>32</v>
      </c>
      <c r="E103" t="s">
        <v>28</v>
      </c>
      <c r="F103" t="s">
        <v>20</v>
      </c>
      <c r="G103" s="1">
        <v>18</v>
      </c>
      <c r="H103" s="1">
        <v>220</v>
      </c>
      <c r="I103" s="3">
        <v>3960</v>
      </c>
      <c r="J103" s="3">
        <v>2700</v>
      </c>
      <c r="K103" s="3">
        <v>1260</v>
      </c>
      <c r="L103" s="1" t="str">
        <f>TEXT(Sales_tbl[[#This Row],[Order_Date]],"mmm")</f>
        <v>Nov</v>
      </c>
      <c r="M103" s="1">
        <f>MONTH(Sales_tbl[[#This Row],[Order_Date]])</f>
        <v>11</v>
      </c>
      <c r="N103" s="1">
        <f>YEAR(Sales_tbl[[#This Row],[Order_Date]])</f>
        <v>2025</v>
      </c>
      <c r="O103" s="4">
        <f>IFERROR(Sales_tbl[[#This Row],[Profit]]/Sales_tbl[[#This Row],[Revenue]],0)</f>
        <v>0.31818181818181818</v>
      </c>
      <c r="P103" s="1" t="str">
        <f>IF(Sales_tbl[[#This Row],[Profit]]&gt;2000, "Yes", "No")</f>
        <v>No</v>
      </c>
    </row>
    <row r="104" spans="1:16" x14ac:dyDescent="0.35">
      <c r="A104" t="s">
        <v>216</v>
      </c>
      <c r="B104" s="2" t="s">
        <v>217</v>
      </c>
      <c r="C104" t="s">
        <v>23</v>
      </c>
      <c r="D104" t="s">
        <v>32</v>
      </c>
      <c r="E104" t="s">
        <v>14</v>
      </c>
      <c r="F104" t="s">
        <v>15</v>
      </c>
      <c r="G104" s="1">
        <v>9</v>
      </c>
      <c r="H104" s="1">
        <v>600</v>
      </c>
      <c r="I104" s="3">
        <v>5400</v>
      </c>
      <c r="J104" s="3">
        <v>3870</v>
      </c>
      <c r="K104" s="3">
        <v>1530</v>
      </c>
      <c r="L104" s="1" t="str">
        <f>TEXT(Sales_tbl[[#This Row],[Order_Date]],"mmm")</f>
        <v>Dec</v>
      </c>
      <c r="M104" s="1">
        <f>MONTH(Sales_tbl[[#This Row],[Order_Date]])</f>
        <v>12</v>
      </c>
      <c r="N104" s="1">
        <f>YEAR(Sales_tbl[[#This Row],[Order_Date]])</f>
        <v>2025</v>
      </c>
      <c r="O104" s="4">
        <f>IFERROR(Sales_tbl[[#This Row],[Profit]]/Sales_tbl[[#This Row],[Revenue]],0)</f>
        <v>0.28333333333333333</v>
      </c>
      <c r="P104" s="1" t="str">
        <f>IF(Sales_tbl[[#This Row],[Profit]]&gt;2000, "Yes", "No")</f>
        <v>No</v>
      </c>
    </row>
    <row r="105" spans="1:16" x14ac:dyDescent="0.35">
      <c r="A105" t="s">
        <v>218</v>
      </c>
      <c r="B105" s="2" t="s">
        <v>188</v>
      </c>
      <c r="C105" t="s">
        <v>12</v>
      </c>
      <c r="D105" t="s">
        <v>26</v>
      </c>
      <c r="E105" t="s">
        <v>14</v>
      </c>
      <c r="F105" t="s">
        <v>15</v>
      </c>
      <c r="G105" s="1">
        <v>10</v>
      </c>
      <c r="H105" s="1">
        <v>600</v>
      </c>
      <c r="I105" s="3">
        <v>6000</v>
      </c>
      <c r="J105" s="3">
        <v>4300</v>
      </c>
      <c r="K105" s="3">
        <v>1700</v>
      </c>
      <c r="L105" s="1" t="str">
        <f>TEXT(Sales_tbl[[#This Row],[Order_Date]],"mmm")</f>
        <v>Jul</v>
      </c>
      <c r="M105" s="1">
        <f>MONTH(Sales_tbl[[#This Row],[Order_Date]])</f>
        <v>7</v>
      </c>
      <c r="N105" s="1">
        <f>YEAR(Sales_tbl[[#This Row],[Order_Date]])</f>
        <v>2025</v>
      </c>
      <c r="O105" s="4">
        <f>IFERROR(Sales_tbl[[#This Row],[Profit]]/Sales_tbl[[#This Row],[Revenue]],0)</f>
        <v>0.28333333333333333</v>
      </c>
      <c r="P105" s="1" t="str">
        <f>IF(Sales_tbl[[#This Row],[Profit]]&gt;2000, "Yes", "No")</f>
        <v>No</v>
      </c>
    </row>
    <row r="106" spans="1:16" x14ac:dyDescent="0.35">
      <c r="A106" t="s">
        <v>219</v>
      </c>
      <c r="B106" s="2" t="s">
        <v>220</v>
      </c>
      <c r="C106" t="s">
        <v>23</v>
      </c>
      <c r="D106" t="s">
        <v>39</v>
      </c>
      <c r="E106" t="s">
        <v>35</v>
      </c>
      <c r="F106" t="s">
        <v>36</v>
      </c>
      <c r="G106" s="1">
        <v>2</v>
      </c>
      <c r="H106" s="1">
        <v>90</v>
      </c>
      <c r="I106" s="3">
        <v>180</v>
      </c>
      <c r="J106" s="3">
        <v>100</v>
      </c>
      <c r="K106" s="3">
        <v>80</v>
      </c>
      <c r="L106" s="1" t="str">
        <f>TEXT(Sales_tbl[[#This Row],[Order_Date]],"mmm")</f>
        <v>Nov</v>
      </c>
      <c r="M106" s="1">
        <f>MONTH(Sales_tbl[[#This Row],[Order_Date]])</f>
        <v>11</v>
      </c>
      <c r="N106" s="1">
        <f>YEAR(Sales_tbl[[#This Row],[Order_Date]])</f>
        <v>2025</v>
      </c>
      <c r="O106" s="4">
        <f>IFERROR(Sales_tbl[[#This Row],[Profit]]/Sales_tbl[[#This Row],[Revenue]],0)</f>
        <v>0.44444444444444442</v>
      </c>
      <c r="P106" s="1" t="str">
        <f>IF(Sales_tbl[[#This Row],[Profit]]&gt;2000, "Yes", "No")</f>
        <v>No</v>
      </c>
    </row>
    <row r="107" spans="1:16" x14ac:dyDescent="0.35">
      <c r="A107" t="s">
        <v>221</v>
      </c>
      <c r="B107" s="2" t="s">
        <v>222</v>
      </c>
      <c r="C107" t="s">
        <v>31</v>
      </c>
      <c r="D107" t="s">
        <v>32</v>
      </c>
      <c r="E107" t="s">
        <v>19</v>
      </c>
      <c r="F107" t="s">
        <v>20</v>
      </c>
      <c r="G107" s="1">
        <v>3</v>
      </c>
      <c r="H107" s="1">
        <v>140</v>
      </c>
      <c r="I107" s="3">
        <v>420</v>
      </c>
      <c r="J107" s="3">
        <v>270</v>
      </c>
      <c r="K107" s="3">
        <v>150</v>
      </c>
      <c r="L107" s="1" t="str">
        <f>TEXT(Sales_tbl[[#This Row],[Order_Date]],"mmm")</f>
        <v>Nov</v>
      </c>
      <c r="M107" s="1">
        <f>MONTH(Sales_tbl[[#This Row],[Order_Date]])</f>
        <v>11</v>
      </c>
      <c r="N107" s="1">
        <f>YEAR(Sales_tbl[[#This Row],[Order_Date]])</f>
        <v>2025</v>
      </c>
      <c r="O107" s="4">
        <f>IFERROR(Sales_tbl[[#This Row],[Profit]]/Sales_tbl[[#This Row],[Revenue]],0)</f>
        <v>0.35714285714285715</v>
      </c>
      <c r="P107" s="1" t="str">
        <f>IF(Sales_tbl[[#This Row],[Profit]]&gt;2000, "Yes", "No")</f>
        <v>No</v>
      </c>
    </row>
    <row r="108" spans="1:16" x14ac:dyDescent="0.35">
      <c r="A108" t="s">
        <v>223</v>
      </c>
      <c r="B108" s="2" t="s">
        <v>224</v>
      </c>
      <c r="C108" t="s">
        <v>23</v>
      </c>
      <c r="D108" t="s">
        <v>54</v>
      </c>
      <c r="E108" t="s">
        <v>28</v>
      </c>
      <c r="F108" t="s">
        <v>20</v>
      </c>
      <c r="G108" s="1">
        <v>11</v>
      </c>
      <c r="H108" s="1">
        <v>220</v>
      </c>
      <c r="I108" s="3">
        <v>2420</v>
      </c>
      <c r="J108" s="3">
        <v>1650</v>
      </c>
      <c r="K108" s="3">
        <v>770</v>
      </c>
      <c r="L108" s="1" t="str">
        <f>TEXT(Sales_tbl[[#This Row],[Order_Date]],"mmm")</f>
        <v>Sep</v>
      </c>
      <c r="M108" s="1">
        <f>MONTH(Sales_tbl[[#This Row],[Order_Date]])</f>
        <v>9</v>
      </c>
      <c r="N108" s="1">
        <f>YEAR(Sales_tbl[[#This Row],[Order_Date]])</f>
        <v>2025</v>
      </c>
      <c r="O108" s="4">
        <f>IFERROR(Sales_tbl[[#This Row],[Profit]]/Sales_tbl[[#This Row],[Revenue]],0)</f>
        <v>0.31818181818181818</v>
      </c>
      <c r="P108" s="1" t="str">
        <f>IF(Sales_tbl[[#This Row],[Profit]]&gt;2000, "Yes", "No")</f>
        <v>No</v>
      </c>
    </row>
    <row r="109" spans="1:16" x14ac:dyDescent="0.35">
      <c r="A109" t="s">
        <v>225</v>
      </c>
      <c r="B109" s="2" t="s">
        <v>226</v>
      </c>
      <c r="C109" t="s">
        <v>23</v>
      </c>
      <c r="D109" t="s">
        <v>39</v>
      </c>
      <c r="E109" t="s">
        <v>14</v>
      </c>
      <c r="F109" t="s">
        <v>15</v>
      </c>
      <c r="G109" s="1">
        <v>16</v>
      </c>
      <c r="H109" s="1">
        <v>600</v>
      </c>
      <c r="I109" s="3">
        <v>9600</v>
      </c>
      <c r="J109" s="3">
        <v>6880</v>
      </c>
      <c r="K109" s="3">
        <v>2720</v>
      </c>
      <c r="L109" s="1" t="str">
        <f>TEXT(Sales_tbl[[#This Row],[Order_Date]],"mmm")</f>
        <v>Aug</v>
      </c>
      <c r="M109" s="1">
        <f>MONTH(Sales_tbl[[#This Row],[Order_Date]])</f>
        <v>8</v>
      </c>
      <c r="N109" s="1">
        <f>YEAR(Sales_tbl[[#This Row],[Order_Date]])</f>
        <v>2025</v>
      </c>
      <c r="O109" s="4">
        <f>IFERROR(Sales_tbl[[#This Row],[Profit]]/Sales_tbl[[#This Row],[Revenue]],0)</f>
        <v>0.28333333333333333</v>
      </c>
      <c r="P109" s="1" t="str">
        <f>IF(Sales_tbl[[#This Row],[Profit]]&gt;2000, "Yes", "No")</f>
        <v>Yes</v>
      </c>
    </row>
    <row r="110" spans="1:16" x14ac:dyDescent="0.35">
      <c r="A110" t="s">
        <v>227</v>
      </c>
      <c r="B110" s="2" t="s">
        <v>228</v>
      </c>
      <c r="C110" t="s">
        <v>18</v>
      </c>
      <c r="D110" t="s">
        <v>32</v>
      </c>
      <c r="E110" t="s">
        <v>57</v>
      </c>
      <c r="F110" t="s">
        <v>15</v>
      </c>
      <c r="G110" s="1">
        <v>6</v>
      </c>
      <c r="H110" s="1">
        <v>300</v>
      </c>
      <c r="I110" s="3">
        <v>1800</v>
      </c>
      <c r="J110" s="3">
        <v>1320</v>
      </c>
      <c r="K110" s="3">
        <v>480</v>
      </c>
      <c r="L110" s="1" t="str">
        <f>TEXT(Sales_tbl[[#This Row],[Order_Date]],"mmm")</f>
        <v>Oct</v>
      </c>
      <c r="M110" s="1">
        <f>MONTH(Sales_tbl[[#This Row],[Order_Date]])</f>
        <v>10</v>
      </c>
      <c r="N110" s="1">
        <f>YEAR(Sales_tbl[[#This Row],[Order_Date]])</f>
        <v>2025</v>
      </c>
      <c r="O110" s="4">
        <f>IFERROR(Sales_tbl[[#This Row],[Profit]]/Sales_tbl[[#This Row],[Revenue]],0)</f>
        <v>0.26666666666666666</v>
      </c>
      <c r="P110" s="1" t="str">
        <f>IF(Sales_tbl[[#This Row],[Profit]]&gt;2000, "Yes", "No")</f>
        <v>No</v>
      </c>
    </row>
    <row r="111" spans="1:16" x14ac:dyDescent="0.35">
      <c r="A111" t="s">
        <v>229</v>
      </c>
      <c r="B111" s="2" t="s">
        <v>230</v>
      </c>
      <c r="C111" t="s">
        <v>18</v>
      </c>
      <c r="D111" t="s">
        <v>26</v>
      </c>
      <c r="E111" t="s">
        <v>57</v>
      </c>
      <c r="F111" t="s">
        <v>15</v>
      </c>
      <c r="G111" s="1">
        <v>4</v>
      </c>
      <c r="H111" s="1">
        <v>300</v>
      </c>
      <c r="I111" s="3">
        <v>1200</v>
      </c>
      <c r="J111" s="3">
        <v>880</v>
      </c>
      <c r="K111" s="3">
        <v>320</v>
      </c>
      <c r="L111" s="1" t="str">
        <f>TEXT(Sales_tbl[[#This Row],[Order_Date]],"mmm")</f>
        <v>Apr</v>
      </c>
      <c r="M111" s="1">
        <f>MONTH(Sales_tbl[[#This Row],[Order_Date]])</f>
        <v>4</v>
      </c>
      <c r="N111" s="1">
        <f>YEAR(Sales_tbl[[#This Row],[Order_Date]])</f>
        <v>2025</v>
      </c>
      <c r="O111" s="4">
        <f>IFERROR(Sales_tbl[[#This Row],[Profit]]/Sales_tbl[[#This Row],[Revenue]],0)</f>
        <v>0.26666666666666666</v>
      </c>
      <c r="P111" s="1" t="str">
        <f>IF(Sales_tbl[[#This Row],[Profit]]&gt;2000, "Yes", "No")</f>
        <v>No</v>
      </c>
    </row>
    <row r="112" spans="1:16" x14ac:dyDescent="0.35">
      <c r="A112" t="s">
        <v>231</v>
      </c>
      <c r="B112" s="2" t="s">
        <v>232</v>
      </c>
      <c r="C112" t="s">
        <v>12</v>
      </c>
      <c r="D112" t="s">
        <v>32</v>
      </c>
      <c r="E112" t="s">
        <v>28</v>
      </c>
      <c r="F112" t="s">
        <v>20</v>
      </c>
      <c r="G112" s="1">
        <v>9</v>
      </c>
      <c r="H112" s="1">
        <v>220</v>
      </c>
      <c r="I112" s="3">
        <v>1980</v>
      </c>
      <c r="J112" s="3">
        <v>1350</v>
      </c>
      <c r="K112" s="3">
        <v>630</v>
      </c>
      <c r="L112" s="1" t="str">
        <f>TEXT(Sales_tbl[[#This Row],[Order_Date]],"mmm")</f>
        <v>Apr</v>
      </c>
      <c r="M112" s="1">
        <f>MONTH(Sales_tbl[[#This Row],[Order_Date]])</f>
        <v>4</v>
      </c>
      <c r="N112" s="1">
        <f>YEAR(Sales_tbl[[#This Row],[Order_Date]])</f>
        <v>2025</v>
      </c>
      <c r="O112" s="4">
        <f>IFERROR(Sales_tbl[[#This Row],[Profit]]/Sales_tbl[[#This Row],[Revenue]],0)</f>
        <v>0.31818181818181818</v>
      </c>
      <c r="P112" s="1" t="str">
        <f>IF(Sales_tbl[[#This Row],[Profit]]&gt;2000, "Yes", "No")</f>
        <v>No</v>
      </c>
    </row>
    <row r="113" spans="1:16" x14ac:dyDescent="0.35">
      <c r="A113" t="s">
        <v>233</v>
      </c>
      <c r="B113" s="2" t="s">
        <v>234</v>
      </c>
      <c r="C113" t="s">
        <v>31</v>
      </c>
      <c r="D113" t="s">
        <v>26</v>
      </c>
      <c r="E113" t="s">
        <v>14</v>
      </c>
      <c r="F113" t="s">
        <v>15</v>
      </c>
      <c r="G113" s="1">
        <v>18</v>
      </c>
      <c r="H113" s="1">
        <v>600</v>
      </c>
      <c r="I113" s="3">
        <v>10800</v>
      </c>
      <c r="J113" s="3">
        <v>7740</v>
      </c>
      <c r="K113" s="3">
        <v>3060</v>
      </c>
      <c r="L113" s="1" t="str">
        <f>TEXT(Sales_tbl[[#This Row],[Order_Date]],"mmm")</f>
        <v>Aug</v>
      </c>
      <c r="M113" s="1">
        <f>MONTH(Sales_tbl[[#This Row],[Order_Date]])</f>
        <v>8</v>
      </c>
      <c r="N113" s="1">
        <f>YEAR(Sales_tbl[[#This Row],[Order_Date]])</f>
        <v>2025</v>
      </c>
      <c r="O113" s="4">
        <f>IFERROR(Sales_tbl[[#This Row],[Profit]]/Sales_tbl[[#This Row],[Revenue]],0)</f>
        <v>0.28333333333333333</v>
      </c>
      <c r="P113" s="1" t="str">
        <f>IF(Sales_tbl[[#This Row],[Profit]]&gt;2000, "Yes", "No")</f>
        <v>Yes</v>
      </c>
    </row>
    <row r="114" spans="1:16" x14ac:dyDescent="0.35">
      <c r="A114" t="s">
        <v>235</v>
      </c>
      <c r="B114" s="2" t="s">
        <v>91</v>
      </c>
      <c r="C114" t="s">
        <v>23</v>
      </c>
      <c r="D114" t="s">
        <v>39</v>
      </c>
      <c r="E114" t="s">
        <v>28</v>
      </c>
      <c r="F114" t="s">
        <v>20</v>
      </c>
      <c r="G114" s="1">
        <v>2</v>
      </c>
      <c r="H114" s="1">
        <v>220</v>
      </c>
      <c r="I114" s="3">
        <v>440</v>
      </c>
      <c r="J114" s="3">
        <v>300</v>
      </c>
      <c r="K114" s="3">
        <v>140</v>
      </c>
      <c r="L114" s="1" t="str">
        <f>TEXT(Sales_tbl[[#This Row],[Order_Date]],"mmm")</f>
        <v>Sep</v>
      </c>
      <c r="M114" s="1">
        <f>MONTH(Sales_tbl[[#This Row],[Order_Date]])</f>
        <v>9</v>
      </c>
      <c r="N114" s="1">
        <f>YEAR(Sales_tbl[[#This Row],[Order_Date]])</f>
        <v>2025</v>
      </c>
      <c r="O114" s="4">
        <f>IFERROR(Sales_tbl[[#This Row],[Profit]]/Sales_tbl[[#This Row],[Revenue]],0)</f>
        <v>0.31818181818181818</v>
      </c>
      <c r="P114" s="1" t="str">
        <f>IF(Sales_tbl[[#This Row],[Profit]]&gt;2000, "Yes", "No")</f>
        <v>No</v>
      </c>
    </row>
    <row r="115" spans="1:16" x14ac:dyDescent="0.35">
      <c r="A115" t="s">
        <v>236</v>
      </c>
      <c r="B115" s="2" t="s">
        <v>237</v>
      </c>
      <c r="C115" t="s">
        <v>18</v>
      </c>
      <c r="D115" t="s">
        <v>39</v>
      </c>
      <c r="E115" t="s">
        <v>28</v>
      </c>
      <c r="F115" t="s">
        <v>20</v>
      </c>
      <c r="G115" s="1">
        <v>4</v>
      </c>
      <c r="H115" s="1">
        <v>220</v>
      </c>
      <c r="I115" s="3">
        <v>880</v>
      </c>
      <c r="J115" s="3">
        <v>600</v>
      </c>
      <c r="K115" s="3">
        <v>280</v>
      </c>
      <c r="L115" s="1" t="str">
        <f>TEXT(Sales_tbl[[#This Row],[Order_Date]],"mmm")</f>
        <v>Mar</v>
      </c>
      <c r="M115" s="1">
        <f>MONTH(Sales_tbl[[#This Row],[Order_Date]])</f>
        <v>3</v>
      </c>
      <c r="N115" s="1">
        <f>YEAR(Sales_tbl[[#This Row],[Order_Date]])</f>
        <v>2025</v>
      </c>
      <c r="O115" s="4">
        <f>IFERROR(Sales_tbl[[#This Row],[Profit]]/Sales_tbl[[#This Row],[Revenue]],0)</f>
        <v>0.31818181818181818</v>
      </c>
      <c r="P115" s="1" t="str">
        <f>IF(Sales_tbl[[#This Row],[Profit]]&gt;2000, "Yes", "No")</f>
        <v>No</v>
      </c>
    </row>
    <row r="116" spans="1:16" x14ac:dyDescent="0.35">
      <c r="A116" t="s">
        <v>238</v>
      </c>
      <c r="B116" s="2" t="s">
        <v>239</v>
      </c>
      <c r="C116" t="s">
        <v>18</v>
      </c>
      <c r="D116" t="s">
        <v>60</v>
      </c>
      <c r="E116" t="s">
        <v>35</v>
      </c>
      <c r="F116" t="s">
        <v>36</v>
      </c>
      <c r="G116" s="1">
        <v>6</v>
      </c>
      <c r="H116" s="1">
        <v>90</v>
      </c>
      <c r="I116" s="3">
        <v>540</v>
      </c>
      <c r="J116" s="3">
        <v>300</v>
      </c>
      <c r="K116" s="3">
        <v>240</v>
      </c>
      <c r="L116" s="1" t="str">
        <f>TEXT(Sales_tbl[[#This Row],[Order_Date]],"mmm")</f>
        <v>Aug</v>
      </c>
      <c r="M116" s="1">
        <f>MONTH(Sales_tbl[[#This Row],[Order_Date]])</f>
        <v>8</v>
      </c>
      <c r="N116" s="1">
        <f>YEAR(Sales_tbl[[#This Row],[Order_Date]])</f>
        <v>2025</v>
      </c>
      <c r="O116" s="4">
        <f>IFERROR(Sales_tbl[[#This Row],[Profit]]/Sales_tbl[[#This Row],[Revenue]],0)</f>
        <v>0.44444444444444442</v>
      </c>
      <c r="P116" s="1" t="str">
        <f>IF(Sales_tbl[[#This Row],[Profit]]&gt;2000, "Yes", "No")</f>
        <v>No</v>
      </c>
    </row>
    <row r="117" spans="1:16" x14ac:dyDescent="0.35">
      <c r="A117" t="s">
        <v>240</v>
      </c>
      <c r="B117" s="2" t="s">
        <v>241</v>
      </c>
      <c r="C117" t="s">
        <v>18</v>
      </c>
      <c r="D117" t="s">
        <v>13</v>
      </c>
      <c r="E117" t="s">
        <v>28</v>
      </c>
      <c r="F117" t="s">
        <v>20</v>
      </c>
      <c r="G117" s="1">
        <v>4</v>
      </c>
      <c r="H117" s="1">
        <v>220</v>
      </c>
      <c r="I117" s="3">
        <v>880</v>
      </c>
      <c r="J117" s="3">
        <v>600</v>
      </c>
      <c r="K117" s="3">
        <v>280</v>
      </c>
      <c r="L117" s="1" t="str">
        <f>TEXT(Sales_tbl[[#This Row],[Order_Date]],"mmm")</f>
        <v>Dec</v>
      </c>
      <c r="M117" s="1">
        <f>MONTH(Sales_tbl[[#This Row],[Order_Date]])</f>
        <v>12</v>
      </c>
      <c r="N117" s="1">
        <f>YEAR(Sales_tbl[[#This Row],[Order_Date]])</f>
        <v>2025</v>
      </c>
      <c r="O117" s="4">
        <f>IFERROR(Sales_tbl[[#This Row],[Profit]]/Sales_tbl[[#This Row],[Revenue]],0)</f>
        <v>0.31818181818181818</v>
      </c>
      <c r="P117" s="1" t="str">
        <f>IF(Sales_tbl[[#This Row],[Profit]]&gt;2000, "Yes", "No")</f>
        <v>No</v>
      </c>
    </row>
    <row r="118" spans="1:16" x14ac:dyDescent="0.35">
      <c r="A118" t="s">
        <v>242</v>
      </c>
      <c r="B118" s="2" t="s">
        <v>237</v>
      </c>
      <c r="C118" t="s">
        <v>31</v>
      </c>
      <c r="D118" t="s">
        <v>13</v>
      </c>
      <c r="E118" t="s">
        <v>14</v>
      </c>
      <c r="F118" t="s">
        <v>15</v>
      </c>
      <c r="G118" s="1">
        <v>9</v>
      </c>
      <c r="H118" s="1">
        <v>600</v>
      </c>
      <c r="I118" s="3">
        <v>5400</v>
      </c>
      <c r="J118" s="3">
        <v>3870</v>
      </c>
      <c r="K118" s="3">
        <v>1530</v>
      </c>
      <c r="L118" s="1" t="str">
        <f>TEXT(Sales_tbl[[#This Row],[Order_Date]],"mmm")</f>
        <v>Mar</v>
      </c>
      <c r="M118" s="1">
        <f>MONTH(Sales_tbl[[#This Row],[Order_Date]])</f>
        <v>3</v>
      </c>
      <c r="N118" s="1">
        <f>YEAR(Sales_tbl[[#This Row],[Order_Date]])</f>
        <v>2025</v>
      </c>
      <c r="O118" s="4">
        <f>IFERROR(Sales_tbl[[#This Row],[Profit]]/Sales_tbl[[#This Row],[Revenue]],0)</f>
        <v>0.28333333333333333</v>
      </c>
      <c r="P118" s="1" t="str">
        <f>IF(Sales_tbl[[#This Row],[Profit]]&gt;2000, "Yes", "No")</f>
        <v>No</v>
      </c>
    </row>
    <row r="119" spans="1:16" x14ac:dyDescent="0.35">
      <c r="A119" t="s">
        <v>243</v>
      </c>
      <c r="B119" s="2" t="s">
        <v>244</v>
      </c>
      <c r="C119" t="s">
        <v>12</v>
      </c>
      <c r="D119" t="s">
        <v>54</v>
      </c>
      <c r="E119" t="s">
        <v>63</v>
      </c>
      <c r="F119" t="s">
        <v>15</v>
      </c>
      <c r="G119" s="1">
        <v>5</v>
      </c>
      <c r="H119" s="1">
        <v>850</v>
      </c>
      <c r="I119" s="3">
        <v>4250</v>
      </c>
      <c r="J119" s="3">
        <v>3250</v>
      </c>
      <c r="K119" s="3">
        <v>1000</v>
      </c>
      <c r="L119" s="1" t="str">
        <f>TEXT(Sales_tbl[[#This Row],[Order_Date]],"mmm")</f>
        <v>Feb</v>
      </c>
      <c r="M119" s="1">
        <f>MONTH(Sales_tbl[[#This Row],[Order_Date]])</f>
        <v>2</v>
      </c>
      <c r="N119" s="1">
        <f>YEAR(Sales_tbl[[#This Row],[Order_Date]])</f>
        <v>2025</v>
      </c>
      <c r="O119" s="4">
        <f>IFERROR(Sales_tbl[[#This Row],[Profit]]/Sales_tbl[[#This Row],[Revenue]],0)</f>
        <v>0.23529411764705882</v>
      </c>
      <c r="P119" s="1" t="str">
        <f>IF(Sales_tbl[[#This Row],[Profit]]&gt;2000, "Yes", "No")</f>
        <v>No</v>
      </c>
    </row>
    <row r="120" spans="1:16" x14ac:dyDescent="0.35">
      <c r="A120" t="s">
        <v>245</v>
      </c>
      <c r="B120" s="2" t="s">
        <v>87</v>
      </c>
      <c r="C120" t="s">
        <v>18</v>
      </c>
      <c r="D120" t="s">
        <v>13</v>
      </c>
      <c r="E120" t="s">
        <v>63</v>
      </c>
      <c r="F120" t="s">
        <v>15</v>
      </c>
      <c r="G120" s="1">
        <v>15</v>
      </c>
      <c r="H120" s="1">
        <v>850</v>
      </c>
      <c r="I120" s="3">
        <v>12750</v>
      </c>
      <c r="J120" s="3">
        <v>9750</v>
      </c>
      <c r="K120" s="3">
        <v>3000</v>
      </c>
      <c r="L120" s="1" t="str">
        <f>TEXT(Sales_tbl[[#This Row],[Order_Date]],"mmm")</f>
        <v>Dec</v>
      </c>
      <c r="M120" s="1">
        <f>MONTH(Sales_tbl[[#This Row],[Order_Date]])</f>
        <v>12</v>
      </c>
      <c r="N120" s="1">
        <f>YEAR(Sales_tbl[[#This Row],[Order_Date]])</f>
        <v>2025</v>
      </c>
      <c r="O120" s="4">
        <f>IFERROR(Sales_tbl[[#This Row],[Profit]]/Sales_tbl[[#This Row],[Revenue]],0)</f>
        <v>0.23529411764705882</v>
      </c>
      <c r="P120" s="1" t="str">
        <f>IF(Sales_tbl[[#This Row],[Profit]]&gt;2000, "Yes", "No")</f>
        <v>Yes</v>
      </c>
    </row>
    <row r="121" spans="1:16" x14ac:dyDescent="0.35">
      <c r="A121" t="s">
        <v>246</v>
      </c>
      <c r="B121" s="2" t="s">
        <v>247</v>
      </c>
      <c r="C121" t="s">
        <v>31</v>
      </c>
      <c r="D121" t="s">
        <v>60</v>
      </c>
      <c r="E121" t="s">
        <v>35</v>
      </c>
      <c r="F121" t="s">
        <v>36</v>
      </c>
      <c r="G121" s="1">
        <v>2</v>
      </c>
      <c r="H121" s="1">
        <v>90</v>
      </c>
      <c r="I121" s="3">
        <v>180</v>
      </c>
      <c r="J121" s="3">
        <v>100</v>
      </c>
      <c r="K121" s="3">
        <v>80</v>
      </c>
      <c r="L121" s="1" t="str">
        <f>TEXT(Sales_tbl[[#This Row],[Order_Date]],"mmm")</f>
        <v>Apr</v>
      </c>
      <c r="M121" s="1">
        <f>MONTH(Sales_tbl[[#This Row],[Order_Date]])</f>
        <v>4</v>
      </c>
      <c r="N121" s="1">
        <f>YEAR(Sales_tbl[[#This Row],[Order_Date]])</f>
        <v>2025</v>
      </c>
      <c r="O121" s="4">
        <f>IFERROR(Sales_tbl[[#This Row],[Profit]]/Sales_tbl[[#This Row],[Revenue]],0)</f>
        <v>0.44444444444444442</v>
      </c>
      <c r="P121" s="1" t="str">
        <f>IF(Sales_tbl[[#This Row],[Profit]]&gt;2000, "Yes", "No")</f>
        <v>No</v>
      </c>
    </row>
    <row r="122" spans="1:16" x14ac:dyDescent="0.35">
      <c r="A122" t="s">
        <v>248</v>
      </c>
      <c r="B122" s="2" t="s">
        <v>249</v>
      </c>
      <c r="C122" t="s">
        <v>18</v>
      </c>
      <c r="D122" t="s">
        <v>26</v>
      </c>
      <c r="E122" t="s">
        <v>63</v>
      </c>
      <c r="F122" t="s">
        <v>15</v>
      </c>
      <c r="G122" s="1">
        <v>15</v>
      </c>
      <c r="H122" s="1">
        <v>850</v>
      </c>
      <c r="I122" s="3">
        <v>12750</v>
      </c>
      <c r="J122" s="3">
        <v>9750</v>
      </c>
      <c r="K122" s="3">
        <v>3000</v>
      </c>
      <c r="L122" s="1" t="str">
        <f>TEXT(Sales_tbl[[#This Row],[Order_Date]],"mmm")</f>
        <v>Jul</v>
      </c>
      <c r="M122" s="1">
        <f>MONTH(Sales_tbl[[#This Row],[Order_Date]])</f>
        <v>7</v>
      </c>
      <c r="N122" s="1">
        <f>YEAR(Sales_tbl[[#This Row],[Order_Date]])</f>
        <v>2025</v>
      </c>
      <c r="O122" s="4">
        <f>IFERROR(Sales_tbl[[#This Row],[Profit]]/Sales_tbl[[#This Row],[Revenue]],0)</f>
        <v>0.23529411764705882</v>
      </c>
      <c r="P122" s="1" t="str">
        <f>IF(Sales_tbl[[#This Row],[Profit]]&gt;2000, "Yes", "No")</f>
        <v>Yes</v>
      </c>
    </row>
    <row r="123" spans="1:16" x14ac:dyDescent="0.35">
      <c r="A123" t="s">
        <v>250</v>
      </c>
      <c r="B123" s="2" t="s">
        <v>239</v>
      </c>
      <c r="C123" t="s">
        <v>12</v>
      </c>
      <c r="D123" t="s">
        <v>60</v>
      </c>
      <c r="E123" t="s">
        <v>19</v>
      </c>
      <c r="F123" t="s">
        <v>20</v>
      </c>
      <c r="G123" s="1">
        <v>12</v>
      </c>
      <c r="H123" s="1">
        <v>140</v>
      </c>
      <c r="I123" s="3">
        <v>1680</v>
      </c>
      <c r="J123" s="3">
        <v>1080</v>
      </c>
      <c r="K123" s="3">
        <v>600</v>
      </c>
      <c r="L123" s="1" t="str">
        <f>TEXT(Sales_tbl[[#This Row],[Order_Date]],"mmm")</f>
        <v>Aug</v>
      </c>
      <c r="M123" s="1">
        <f>MONTH(Sales_tbl[[#This Row],[Order_Date]])</f>
        <v>8</v>
      </c>
      <c r="N123" s="1">
        <f>YEAR(Sales_tbl[[#This Row],[Order_Date]])</f>
        <v>2025</v>
      </c>
      <c r="O123" s="4">
        <f>IFERROR(Sales_tbl[[#This Row],[Profit]]/Sales_tbl[[#This Row],[Revenue]],0)</f>
        <v>0.35714285714285715</v>
      </c>
      <c r="P123" s="1" t="str">
        <f>IF(Sales_tbl[[#This Row],[Profit]]&gt;2000, "Yes", "No")</f>
        <v>No</v>
      </c>
    </row>
    <row r="124" spans="1:16" x14ac:dyDescent="0.35">
      <c r="A124" t="s">
        <v>251</v>
      </c>
      <c r="B124" s="2" t="s">
        <v>252</v>
      </c>
      <c r="C124" t="s">
        <v>23</v>
      </c>
      <c r="D124" t="s">
        <v>39</v>
      </c>
      <c r="E124" t="s">
        <v>35</v>
      </c>
      <c r="F124" t="s">
        <v>36</v>
      </c>
      <c r="G124" s="1">
        <v>10</v>
      </c>
      <c r="H124" s="1">
        <v>90</v>
      </c>
      <c r="I124" s="3">
        <v>900</v>
      </c>
      <c r="J124" s="3">
        <v>500</v>
      </c>
      <c r="K124" s="3">
        <v>400</v>
      </c>
      <c r="L124" s="1" t="str">
        <f>TEXT(Sales_tbl[[#This Row],[Order_Date]],"mmm")</f>
        <v>Jul</v>
      </c>
      <c r="M124" s="1">
        <f>MONTH(Sales_tbl[[#This Row],[Order_Date]])</f>
        <v>7</v>
      </c>
      <c r="N124" s="1">
        <f>YEAR(Sales_tbl[[#This Row],[Order_Date]])</f>
        <v>2025</v>
      </c>
      <c r="O124" s="4">
        <f>IFERROR(Sales_tbl[[#This Row],[Profit]]/Sales_tbl[[#This Row],[Revenue]],0)</f>
        <v>0.44444444444444442</v>
      </c>
      <c r="P124" s="1" t="str">
        <f>IF(Sales_tbl[[#This Row],[Profit]]&gt;2000, "Yes", "No")</f>
        <v>No</v>
      </c>
    </row>
    <row r="125" spans="1:16" x14ac:dyDescent="0.35">
      <c r="A125" t="s">
        <v>253</v>
      </c>
      <c r="B125" s="2" t="s">
        <v>254</v>
      </c>
      <c r="C125" t="s">
        <v>31</v>
      </c>
      <c r="D125" t="s">
        <v>26</v>
      </c>
      <c r="E125" t="s">
        <v>14</v>
      </c>
      <c r="F125" t="s">
        <v>15</v>
      </c>
      <c r="G125" s="1">
        <v>11</v>
      </c>
      <c r="H125" s="1">
        <v>600</v>
      </c>
      <c r="I125" s="3">
        <v>6600</v>
      </c>
      <c r="J125" s="3">
        <v>4730</v>
      </c>
      <c r="K125" s="3">
        <v>1870</v>
      </c>
      <c r="L125" s="1" t="str">
        <f>TEXT(Sales_tbl[[#This Row],[Order_Date]],"mmm")</f>
        <v>Dec</v>
      </c>
      <c r="M125" s="1">
        <f>MONTH(Sales_tbl[[#This Row],[Order_Date]])</f>
        <v>12</v>
      </c>
      <c r="N125" s="1">
        <f>YEAR(Sales_tbl[[#This Row],[Order_Date]])</f>
        <v>2025</v>
      </c>
      <c r="O125" s="4">
        <f>IFERROR(Sales_tbl[[#This Row],[Profit]]/Sales_tbl[[#This Row],[Revenue]],0)</f>
        <v>0.28333333333333333</v>
      </c>
      <c r="P125" s="1" t="str">
        <f>IF(Sales_tbl[[#This Row],[Profit]]&gt;2000, "Yes", "No")</f>
        <v>No</v>
      </c>
    </row>
    <row r="126" spans="1:16" x14ac:dyDescent="0.35">
      <c r="A126" t="s">
        <v>255</v>
      </c>
      <c r="B126" s="2" t="s">
        <v>256</v>
      </c>
      <c r="C126" t="s">
        <v>23</v>
      </c>
      <c r="D126" t="s">
        <v>13</v>
      </c>
      <c r="E126" t="s">
        <v>19</v>
      </c>
      <c r="F126" t="s">
        <v>20</v>
      </c>
      <c r="G126" s="1">
        <v>4</v>
      </c>
      <c r="H126" s="1">
        <v>140</v>
      </c>
      <c r="I126" s="3">
        <v>560</v>
      </c>
      <c r="J126" s="3">
        <v>360</v>
      </c>
      <c r="K126" s="3">
        <v>200</v>
      </c>
      <c r="L126" s="1" t="str">
        <f>TEXT(Sales_tbl[[#This Row],[Order_Date]],"mmm")</f>
        <v>Oct</v>
      </c>
      <c r="M126" s="1">
        <f>MONTH(Sales_tbl[[#This Row],[Order_Date]])</f>
        <v>10</v>
      </c>
      <c r="N126" s="1">
        <f>YEAR(Sales_tbl[[#This Row],[Order_Date]])</f>
        <v>2025</v>
      </c>
      <c r="O126" s="4">
        <f>IFERROR(Sales_tbl[[#This Row],[Profit]]/Sales_tbl[[#This Row],[Revenue]],0)</f>
        <v>0.35714285714285715</v>
      </c>
      <c r="P126" s="1" t="str">
        <f>IF(Sales_tbl[[#This Row],[Profit]]&gt;2000, "Yes", "No")</f>
        <v>No</v>
      </c>
    </row>
    <row r="127" spans="1:16" x14ac:dyDescent="0.35">
      <c r="A127" t="s">
        <v>257</v>
      </c>
      <c r="B127" s="2" t="s">
        <v>141</v>
      </c>
      <c r="C127" t="s">
        <v>31</v>
      </c>
      <c r="D127" t="s">
        <v>39</v>
      </c>
      <c r="E127" t="s">
        <v>63</v>
      </c>
      <c r="F127" t="s">
        <v>15</v>
      </c>
      <c r="G127" s="1">
        <v>16</v>
      </c>
      <c r="H127" s="1">
        <v>850</v>
      </c>
      <c r="I127" s="3">
        <v>13600</v>
      </c>
      <c r="J127" s="3">
        <v>10400</v>
      </c>
      <c r="K127" s="3">
        <v>3200</v>
      </c>
      <c r="L127" s="1" t="str">
        <f>TEXT(Sales_tbl[[#This Row],[Order_Date]],"mmm")</f>
        <v>Oct</v>
      </c>
      <c r="M127" s="1">
        <f>MONTH(Sales_tbl[[#This Row],[Order_Date]])</f>
        <v>10</v>
      </c>
      <c r="N127" s="1">
        <f>YEAR(Sales_tbl[[#This Row],[Order_Date]])</f>
        <v>2025</v>
      </c>
      <c r="O127" s="4">
        <f>IFERROR(Sales_tbl[[#This Row],[Profit]]/Sales_tbl[[#This Row],[Revenue]],0)</f>
        <v>0.23529411764705882</v>
      </c>
      <c r="P127" s="1" t="str">
        <f>IF(Sales_tbl[[#This Row],[Profit]]&gt;2000, "Yes", "No")</f>
        <v>Yes</v>
      </c>
    </row>
    <row r="128" spans="1:16" x14ac:dyDescent="0.35">
      <c r="A128" t="s">
        <v>258</v>
      </c>
      <c r="B128" s="2" t="s">
        <v>259</v>
      </c>
      <c r="C128" t="s">
        <v>31</v>
      </c>
      <c r="D128" t="s">
        <v>13</v>
      </c>
      <c r="E128" t="s">
        <v>19</v>
      </c>
      <c r="F128" t="s">
        <v>20</v>
      </c>
      <c r="G128" s="1">
        <v>20</v>
      </c>
      <c r="H128" s="1">
        <v>140</v>
      </c>
      <c r="I128" s="3">
        <v>2800</v>
      </c>
      <c r="J128" s="3">
        <v>1800</v>
      </c>
      <c r="K128" s="3">
        <v>1000</v>
      </c>
      <c r="L128" s="1" t="str">
        <f>TEXT(Sales_tbl[[#This Row],[Order_Date]],"mmm")</f>
        <v>Jan</v>
      </c>
      <c r="M128" s="1">
        <f>MONTH(Sales_tbl[[#This Row],[Order_Date]])</f>
        <v>1</v>
      </c>
      <c r="N128" s="1">
        <f>YEAR(Sales_tbl[[#This Row],[Order_Date]])</f>
        <v>2025</v>
      </c>
      <c r="O128" s="4">
        <f>IFERROR(Sales_tbl[[#This Row],[Profit]]/Sales_tbl[[#This Row],[Revenue]],0)</f>
        <v>0.35714285714285715</v>
      </c>
      <c r="P128" s="1" t="str">
        <f>IF(Sales_tbl[[#This Row],[Profit]]&gt;2000, "Yes", "No")</f>
        <v>No</v>
      </c>
    </row>
    <row r="129" spans="1:16" x14ac:dyDescent="0.35">
      <c r="A129" t="s">
        <v>260</v>
      </c>
      <c r="B129" s="2" t="s">
        <v>118</v>
      </c>
      <c r="C129" t="s">
        <v>23</v>
      </c>
      <c r="D129" t="s">
        <v>26</v>
      </c>
      <c r="E129" t="s">
        <v>57</v>
      </c>
      <c r="F129" t="s">
        <v>15</v>
      </c>
      <c r="G129" s="1">
        <v>19</v>
      </c>
      <c r="H129" s="1">
        <v>300</v>
      </c>
      <c r="I129" s="3">
        <v>5700</v>
      </c>
      <c r="J129" s="3">
        <v>4180</v>
      </c>
      <c r="K129" s="3">
        <v>1520</v>
      </c>
      <c r="L129" s="1" t="str">
        <f>TEXT(Sales_tbl[[#This Row],[Order_Date]],"mmm")</f>
        <v>Jul</v>
      </c>
      <c r="M129" s="1">
        <f>MONTH(Sales_tbl[[#This Row],[Order_Date]])</f>
        <v>7</v>
      </c>
      <c r="N129" s="1">
        <f>YEAR(Sales_tbl[[#This Row],[Order_Date]])</f>
        <v>2025</v>
      </c>
      <c r="O129" s="4">
        <f>IFERROR(Sales_tbl[[#This Row],[Profit]]/Sales_tbl[[#This Row],[Revenue]],0)</f>
        <v>0.26666666666666666</v>
      </c>
      <c r="P129" s="1" t="str">
        <f>IF(Sales_tbl[[#This Row],[Profit]]&gt;2000, "Yes", "No")</f>
        <v>No</v>
      </c>
    </row>
    <row r="130" spans="1:16" x14ac:dyDescent="0.35">
      <c r="A130" t="s">
        <v>261</v>
      </c>
      <c r="B130" s="2" t="s">
        <v>220</v>
      </c>
      <c r="C130" t="s">
        <v>31</v>
      </c>
      <c r="D130" t="s">
        <v>13</v>
      </c>
      <c r="E130" t="s">
        <v>28</v>
      </c>
      <c r="F130" t="s">
        <v>20</v>
      </c>
      <c r="G130" s="1">
        <v>7</v>
      </c>
      <c r="H130" s="1">
        <v>220</v>
      </c>
      <c r="I130" s="3">
        <v>1540</v>
      </c>
      <c r="J130" s="3">
        <v>1050</v>
      </c>
      <c r="K130" s="3">
        <v>490</v>
      </c>
      <c r="L130" s="1" t="str">
        <f>TEXT(Sales_tbl[[#This Row],[Order_Date]],"mmm")</f>
        <v>Nov</v>
      </c>
      <c r="M130" s="1">
        <f>MONTH(Sales_tbl[[#This Row],[Order_Date]])</f>
        <v>11</v>
      </c>
      <c r="N130" s="1">
        <f>YEAR(Sales_tbl[[#This Row],[Order_Date]])</f>
        <v>2025</v>
      </c>
      <c r="O130" s="4">
        <f>IFERROR(Sales_tbl[[#This Row],[Profit]]/Sales_tbl[[#This Row],[Revenue]],0)</f>
        <v>0.31818181818181818</v>
      </c>
      <c r="P130" s="1" t="str">
        <f>IF(Sales_tbl[[#This Row],[Profit]]&gt;2000, "Yes", "No")</f>
        <v>No</v>
      </c>
    </row>
    <row r="131" spans="1:16" x14ac:dyDescent="0.35">
      <c r="A131" t="s">
        <v>262</v>
      </c>
      <c r="B131" s="2" t="s">
        <v>263</v>
      </c>
      <c r="C131" t="s">
        <v>23</v>
      </c>
      <c r="D131" t="s">
        <v>13</v>
      </c>
      <c r="E131" t="s">
        <v>14</v>
      </c>
      <c r="F131" t="s">
        <v>15</v>
      </c>
      <c r="G131" s="1">
        <v>16</v>
      </c>
      <c r="H131" s="1">
        <v>600</v>
      </c>
      <c r="I131" s="3">
        <v>9600</v>
      </c>
      <c r="J131" s="3">
        <v>6880</v>
      </c>
      <c r="K131" s="3">
        <v>2720</v>
      </c>
      <c r="L131" s="1" t="str">
        <f>TEXT(Sales_tbl[[#This Row],[Order_Date]],"mmm")</f>
        <v>Nov</v>
      </c>
      <c r="M131" s="1">
        <f>MONTH(Sales_tbl[[#This Row],[Order_Date]])</f>
        <v>11</v>
      </c>
      <c r="N131" s="1">
        <f>YEAR(Sales_tbl[[#This Row],[Order_Date]])</f>
        <v>2025</v>
      </c>
      <c r="O131" s="4">
        <f>IFERROR(Sales_tbl[[#This Row],[Profit]]/Sales_tbl[[#This Row],[Revenue]],0)</f>
        <v>0.28333333333333333</v>
      </c>
      <c r="P131" s="1" t="str">
        <f>IF(Sales_tbl[[#This Row],[Profit]]&gt;2000, "Yes", "No")</f>
        <v>Yes</v>
      </c>
    </row>
    <row r="132" spans="1:16" x14ac:dyDescent="0.35">
      <c r="A132" t="s">
        <v>264</v>
      </c>
      <c r="B132" s="2" t="s">
        <v>252</v>
      </c>
      <c r="C132" t="s">
        <v>12</v>
      </c>
      <c r="D132" t="s">
        <v>26</v>
      </c>
      <c r="E132" t="s">
        <v>14</v>
      </c>
      <c r="F132" t="s">
        <v>15</v>
      </c>
      <c r="G132" s="1">
        <v>2</v>
      </c>
      <c r="H132" s="1">
        <v>600</v>
      </c>
      <c r="I132" s="3">
        <v>1200</v>
      </c>
      <c r="J132" s="3">
        <v>860</v>
      </c>
      <c r="K132" s="3">
        <v>340</v>
      </c>
      <c r="L132" s="1" t="str">
        <f>TEXT(Sales_tbl[[#This Row],[Order_Date]],"mmm")</f>
        <v>Jul</v>
      </c>
      <c r="M132" s="1">
        <f>MONTH(Sales_tbl[[#This Row],[Order_Date]])</f>
        <v>7</v>
      </c>
      <c r="N132" s="1">
        <f>YEAR(Sales_tbl[[#This Row],[Order_Date]])</f>
        <v>2025</v>
      </c>
      <c r="O132" s="4">
        <f>IFERROR(Sales_tbl[[#This Row],[Profit]]/Sales_tbl[[#This Row],[Revenue]],0)</f>
        <v>0.28333333333333333</v>
      </c>
      <c r="P132" s="1" t="str">
        <f>IF(Sales_tbl[[#This Row],[Profit]]&gt;2000, "Yes", "No")</f>
        <v>No</v>
      </c>
    </row>
    <row r="133" spans="1:16" x14ac:dyDescent="0.35">
      <c r="A133" t="s">
        <v>265</v>
      </c>
      <c r="B133" s="2" t="s">
        <v>123</v>
      </c>
      <c r="C133" t="s">
        <v>23</v>
      </c>
      <c r="D133" t="s">
        <v>39</v>
      </c>
      <c r="E133" t="s">
        <v>35</v>
      </c>
      <c r="F133" t="s">
        <v>36</v>
      </c>
      <c r="G133" s="1">
        <v>20</v>
      </c>
      <c r="H133" s="1">
        <v>90</v>
      </c>
      <c r="I133" s="3">
        <v>1800</v>
      </c>
      <c r="J133" s="3">
        <v>1000</v>
      </c>
      <c r="K133" s="3">
        <v>800</v>
      </c>
      <c r="L133" s="1" t="str">
        <f>TEXT(Sales_tbl[[#This Row],[Order_Date]],"mmm")</f>
        <v>Apr</v>
      </c>
      <c r="M133" s="1">
        <f>MONTH(Sales_tbl[[#This Row],[Order_Date]])</f>
        <v>4</v>
      </c>
      <c r="N133" s="1">
        <f>YEAR(Sales_tbl[[#This Row],[Order_Date]])</f>
        <v>2025</v>
      </c>
      <c r="O133" s="4">
        <f>IFERROR(Sales_tbl[[#This Row],[Profit]]/Sales_tbl[[#This Row],[Revenue]],0)</f>
        <v>0.44444444444444442</v>
      </c>
      <c r="P133" s="1" t="str">
        <f>IF(Sales_tbl[[#This Row],[Profit]]&gt;2000, "Yes", "No")</f>
        <v>No</v>
      </c>
    </row>
    <row r="134" spans="1:16" x14ac:dyDescent="0.35">
      <c r="A134" t="s">
        <v>266</v>
      </c>
      <c r="B134" s="2" t="s">
        <v>195</v>
      </c>
      <c r="C134" t="s">
        <v>23</v>
      </c>
      <c r="D134" t="s">
        <v>13</v>
      </c>
      <c r="E134" t="s">
        <v>35</v>
      </c>
      <c r="F134" t="s">
        <v>36</v>
      </c>
      <c r="G134" s="1">
        <v>15</v>
      </c>
      <c r="H134" s="1">
        <v>90</v>
      </c>
      <c r="I134" s="3">
        <v>1350</v>
      </c>
      <c r="J134" s="3">
        <v>750</v>
      </c>
      <c r="K134" s="3">
        <v>600</v>
      </c>
      <c r="L134" s="1" t="str">
        <f>TEXT(Sales_tbl[[#This Row],[Order_Date]],"mmm")</f>
        <v>Apr</v>
      </c>
      <c r="M134" s="1">
        <f>MONTH(Sales_tbl[[#This Row],[Order_Date]])</f>
        <v>4</v>
      </c>
      <c r="N134" s="1">
        <f>YEAR(Sales_tbl[[#This Row],[Order_Date]])</f>
        <v>2025</v>
      </c>
      <c r="O134" s="4">
        <f>IFERROR(Sales_tbl[[#This Row],[Profit]]/Sales_tbl[[#This Row],[Revenue]],0)</f>
        <v>0.44444444444444442</v>
      </c>
      <c r="P134" s="1" t="str">
        <f>IF(Sales_tbl[[#This Row],[Profit]]&gt;2000, "Yes", "No")</f>
        <v>No</v>
      </c>
    </row>
    <row r="135" spans="1:16" x14ac:dyDescent="0.35">
      <c r="A135" t="s">
        <v>267</v>
      </c>
      <c r="B135" s="2" t="s">
        <v>268</v>
      </c>
      <c r="C135" t="s">
        <v>23</v>
      </c>
      <c r="D135" t="s">
        <v>54</v>
      </c>
      <c r="E135" t="s">
        <v>28</v>
      </c>
      <c r="F135" t="s">
        <v>20</v>
      </c>
      <c r="G135" s="1">
        <v>15</v>
      </c>
      <c r="H135" s="1">
        <v>220</v>
      </c>
      <c r="I135" s="3">
        <v>3300</v>
      </c>
      <c r="J135" s="3">
        <v>2250</v>
      </c>
      <c r="K135" s="3">
        <v>1050</v>
      </c>
      <c r="L135" s="1" t="str">
        <f>TEXT(Sales_tbl[[#This Row],[Order_Date]],"mmm")</f>
        <v>May</v>
      </c>
      <c r="M135" s="1">
        <f>MONTH(Sales_tbl[[#This Row],[Order_Date]])</f>
        <v>5</v>
      </c>
      <c r="N135" s="1">
        <f>YEAR(Sales_tbl[[#This Row],[Order_Date]])</f>
        <v>2025</v>
      </c>
      <c r="O135" s="4">
        <f>IFERROR(Sales_tbl[[#This Row],[Profit]]/Sales_tbl[[#This Row],[Revenue]],0)</f>
        <v>0.31818181818181818</v>
      </c>
      <c r="P135" s="1" t="str">
        <f>IF(Sales_tbl[[#This Row],[Profit]]&gt;2000, "Yes", "No")</f>
        <v>No</v>
      </c>
    </row>
    <row r="136" spans="1:16" x14ac:dyDescent="0.35">
      <c r="A136" t="s">
        <v>269</v>
      </c>
      <c r="B136" s="2" t="s">
        <v>11</v>
      </c>
      <c r="C136" t="s">
        <v>12</v>
      </c>
      <c r="D136" t="s">
        <v>60</v>
      </c>
      <c r="E136" t="s">
        <v>57</v>
      </c>
      <c r="F136" t="s">
        <v>15</v>
      </c>
      <c r="G136" s="1">
        <v>12</v>
      </c>
      <c r="H136" s="1">
        <v>300</v>
      </c>
      <c r="I136" s="3">
        <v>3600</v>
      </c>
      <c r="J136" s="3">
        <v>2640</v>
      </c>
      <c r="K136" s="3">
        <v>960</v>
      </c>
      <c r="L136" s="1" t="str">
        <f>TEXT(Sales_tbl[[#This Row],[Order_Date]],"mmm")</f>
        <v>Dec</v>
      </c>
      <c r="M136" s="1">
        <f>MONTH(Sales_tbl[[#This Row],[Order_Date]])</f>
        <v>12</v>
      </c>
      <c r="N136" s="1">
        <f>YEAR(Sales_tbl[[#This Row],[Order_Date]])</f>
        <v>2025</v>
      </c>
      <c r="O136" s="4">
        <f>IFERROR(Sales_tbl[[#This Row],[Profit]]/Sales_tbl[[#This Row],[Revenue]],0)</f>
        <v>0.26666666666666666</v>
      </c>
      <c r="P136" s="1" t="str">
        <f>IF(Sales_tbl[[#This Row],[Profit]]&gt;2000, "Yes", "No")</f>
        <v>No</v>
      </c>
    </row>
    <row r="137" spans="1:16" x14ac:dyDescent="0.35">
      <c r="A137" t="s">
        <v>270</v>
      </c>
      <c r="B137" s="2" t="s">
        <v>271</v>
      </c>
      <c r="C137" t="s">
        <v>23</v>
      </c>
      <c r="D137" t="s">
        <v>13</v>
      </c>
      <c r="E137" t="s">
        <v>35</v>
      </c>
      <c r="F137" t="s">
        <v>36</v>
      </c>
      <c r="G137" s="1">
        <v>18</v>
      </c>
      <c r="H137" s="1">
        <v>90</v>
      </c>
      <c r="I137" s="3">
        <v>1620</v>
      </c>
      <c r="J137" s="3">
        <v>900</v>
      </c>
      <c r="K137" s="3">
        <v>720</v>
      </c>
      <c r="L137" s="1" t="str">
        <f>TEXT(Sales_tbl[[#This Row],[Order_Date]],"mmm")</f>
        <v>Jul</v>
      </c>
      <c r="M137" s="1">
        <f>MONTH(Sales_tbl[[#This Row],[Order_Date]])</f>
        <v>7</v>
      </c>
      <c r="N137" s="1">
        <f>YEAR(Sales_tbl[[#This Row],[Order_Date]])</f>
        <v>2025</v>
      </c>
      <c r="O137" s="4">
        <f>IFERROR(Sales_tbl[[#This Row],[Profit]]/Sales_tbl[[#This Row],[Revenue]],0)</f>
        <v>0.44444444444444442</v>
      </c>
      <c r="P137" s="1" t="str">
        <f>IF(Sales_tbl[[#This Row],[Profit]]&gt;2000, "Yes", "No")</f>
        <v>No</v>
      </c>
    </row>
    <row r="138" spans="1:16" x14ac:dyDescent="0.35">
      <c r="A138" t="s">
        <v>272</v>
      </c>
      <c r="B138" s="2" t="s">
        <v>273</v>
      </c>
      <c r="C138" t="s">
        <v>12</v>
      </c>
      <c r="D138" t="s">
        <v>13</v>
      </c>
      <c r="E138" t="s">
        <v>57</v>
      </c>
      <c r="F138" t="s">
        <v>15</v>
      </c>
      <c r="G138" s="1">
        <v>14</v>
      </c>
      <c r="H138" s="1">
        <v>300</v>
      </c>
      <c r="I138" s="3">
        <v>4200</v>
      </c>
      <c r="J138" s="3">
        <v>3080</v>
      </c>
      <c r="K138" s="3">
        <v>1120</v>
      </c>
      <c r="L138" s="1" t="str">
        <f>TEXT(Sales_tbl[[#This Row],[Order_Date]],"mmm")</f>
        <v>Aug</v>
      </c>
      <c r="M138" s="1">
        <f>MONTH(Sales_tbl[[#This Row],[Order_Date]])</f>
        <v>8</v>
      </c>
      <c r="N138" s="1">
        <f>YEAR(Sales_tbl[[#This Row],[Order_Date]])</f>
        <v>2025</v>
      </c>
      <c r="O138" s="4">
        <f>IFERROR(Sales_tbl[[#This Row],[Profit]]/Sales_tbl[[#This Row],[Revenue]],0)</f>
        <v>0.26666666666666666</v>
      </c>
      <c r="P138" s="1" t="str">
        <f>IF(Sales_tbl[[#This Row],[Profit]]&gt;2000, "Yes", "No")</f>
        <v>No</v>
      </c>
    </row>
    <row r="139" spans="1:16" x14ac:dyDescent="0.35">
      <c r="A139" t="s">
        <v>274</v>
      </c>
      <c r="B139" s="2" t="s">
        <v>275</v>
      </c>
      <c r="C139" t="s">
        <v>12</v>
      </c>
      <c r="D139" t="s">
        <v>54</v>
      </c>
      <c r="E139" t="s">
        <v>35</v>
      </c>
      <c r="F139" t="s">
        <v>36</v>
      </c>
      <c r="G139" s="1">
        <v>12</v>
      </c>
      <c r="H139" s="1">
        <v>90</v>
      </c>
      <c r="I139" s="3">
        <v>1080</v>
      </c>
      <c r="J139" s="3">
        <v>600</v>
      </c>
      <c r="K139" s="3">
        <v>480</v>
      </c>
      <c r="L139" s="1" t="str">
        <f>TEXT(Sales_tbl[[#This Row],[Order_Date]],"mmm")</f>
        <v>Dec</v>
      </c>
      <c r="M139" s="1">
        <f>MONTH(Sales_tbl[[#This Row],[Order_Date]])</f>
        <v>12</v>
      </c>
      <c r="N139" s="1">
        <f>YEAR(Sales_tbl[[#This Row],[Order_Date]])</f>
        <v>2025</v>
      </c>
      <c r="O139" s="4">
        <f>IFERROR(Sales_tbl[[#This Row],[Profit]]/Sales_tbl[[#This Row],[Revenue]],0)</f>
        <v>0.44444444444444442</v>
      </c>
      <c r="P139" s="1" t="str">
        <f>IF(Sales_tbl[[#This Row],[Profit]]&gt;2000, "Yes", "No")</f>
        <v>No</v>
      </c>
    </row>
    <row r="140" spans="1:16" x14ac:dyDescent="0.35">
      <c r="A140" t="s">
        <v>276</v>
      </c>
      <c r="B140" s="2" t="s">
        <v>158</v>
      </c>
      <c r="C140" t="s">
        <v>31</v>
      </c>
      <c r="D140" t="s">
        <v>60</v>
      </c>
      <c r="E140" t="s">
        <v>19</v>
      </c>
      <c r="F140" t="s">
        <v>20</v>
      </c>
      <c r="G140" s="1">
        <v>6</v>
      </c>
      <c r="H140" s="1">
        <v>140</v>
      </c>
      <c r="I140" s="3">
        <v>840</v>
      </c>
      <c r="J140" s="3">
        <v>540</v>
      </c>
      <c r="K140" s="3">
        <v>300</v>
      </c>
      <c r="L140" s="1" t="str">
        <f>TEXT(Sales_tbl[[#This Row],[Order_Date]],"mmm")</f>
        <v>Jun</v>
      </c>
      <c r="M140" s="1">
        <f>MONTH(Sales_tbl[[#This Row],[Order_Date]])</f>
        <v>6</v>
      </c>
      <c r="N140" s="1">
        <f>YEAR(Sales_tbl[[#This Row],[Order_Date]])</f>
        <v>2025</v>
      </c>
      <c r="O140" s="4">
        <f>IFERROR(Sales_tbl[[#This Row],[Profit]]/Sales_tbl[[#This Row],[Revenue]],0)</f>
        <v>0.35714285714285715</v>
      </c>
      <c r="P140" s="1" t="str">
        <f>IF(Sales_tbl[[#This Row],[Profit]]&gt;2000, "Yes", "No")</f>
        <v>No</v>
      </c>
    </row>
    <row r="141" spans="1:16" x14ac:dyDescent="0.35">
      <c r="A141" t="s">
        <v>277</v>
      </c>
      <c r="B141" s="2" t="s">
        <v>123</v>
      </c>
      <c r="C141" t="s">
        <v>31</v>
      </c>
      <c r="D141" t="s">
        <v>54</v>
      </c>
      <c r="E141" t="s">
        <v>35</v>
      </c>
      <c r="F141" t="s">
        <v>36</v>
      </c>
      <c r="G141" s="1">
        <v>14</v>
      </c>
      <c r="H141" s="1">
        <v>90</v>
      </c>
      <c r="I141" s="3">
        <v>1260</v>
      </c>
      <c r="J141" s="3">
        <v>700</v>
      </c>
      <c r="K141" s="3">
        <v>560</v>
      </c>
      <c r="L141" s="1" t="str">
        <f>TEXT(Sales_tbl[[#This Row],[Order_Date]],"mmm")</f>
        <v>Apr</v>
      </c>
      <c r="M141" s="1">
        <f>MONTH(Sales_tbl[[#This Row],[Order_Date]])</f>
        <v>4</v>
      </c>
      <c r="N141" s="1">
        <f>YEAR(Sales_tbl[[#This Row],[Order_Date]])</f>
        <v>2025</v>
      </c>
      <c r="O141" s="4">
        <f>IFERROR(Sales_tbl[[#This Row],[Profit]]/Sales_tbl[[#This Row],[Revenue]],0)</f>
        <v>0.44444444444444442</v>
      </c>
      <c r="P141" s="1" t="str">
        <f>IF(Sales_tbl[[#This Row],[Profit]]&gt;2000, "Yes", "No")</f>
        <v>No</v>
      </c>
    </row>
    <row r="142" spans="1:16" x14ac:dyDescent="0.35">
      <c r="A142" t="s">
        <v>278</v>
      </c>
      <c r="B142" s="2" t="s">
        <v>279</v>
      </c>
      <c r="C142" t="s">
        <v>31</v>
      </c>
      <c r="D142" t="s">
        <v>60</v>
      </c>
      <c r="E142" t="s">
        <v>14</v>
      </c>
      <c r="F142" t="s">
        <v>15</v>
      </c>
      <c r="G142" s="1">
        <v>14</v>
      </c>
      <c r="H142" s="1">
        <v>600</v>
      </c>
      <c r="I142" s="3">
        <v>8400</v>
      </c>
      <c r="J142" s="3">
        <v>6020</v>
      </c>
      <c r="K142" s="3">
        <v>2380</v>
      </c>
      <c r="L142" s="1" t="str">
        <f>TEXT(Sales_tbl[[#This Row],[Order_Date]],"mmm")</f>
        <v>May</v>
      </c>
      <c r="M142" s="1">
        <f>MONTH(Sales_tbl[[#This Row],[Order_Date]])</f>
        <v>5</v>
      </c>
      <c r="N142" s="1">
        <f>YEAR(Sales_tbl[[#This Row],[Order_Date]])</f>
        <v>2025</v>
      </c>
      <c r="O142" s="4">
        <f>IFERROR(Sales_tbl[[#This Row],[Profit]]/Sales_tbl[[#This Row],[Revenue]],0)</f>
        <v>0.28333333333333333</v>
      </c>
      <c r="P142" s="1" t="str">
        <f>IF(Sales_tbl[[#This Row],[Profit]]&gt;2000, "Yes", "No")</f>
        <v>Yes</v>
      </c>
    </row>
    <row r="143" spans="1:16" x14ac:dyDescent="0.35">
      <c r="A143" t="s">
        <v>280</v>
      </c>
      <c r="B143" s="2" t="s">
        <v>281</v>
      </c>
      <c r="C143" t="s">
        <v>31</v>
      </c>
      <c r="D143" t="s">
        <v>60</v>
      </c>
      <c r="E143" t="s">
        <v>35</v>
      </c>
      <c r="F143" t="s">
        <v>36</v>
      </c>
      <c r="G143" s="1">
        <v>16</v>
      </c>
      <c r="H143" s="1">
        <v>90</v>
      </c>
      <c r="I143" s="3">
        <v>1440</v>
      </c>
      <c r="J143" s="3">
        <v>800</v>
      </c>
      <c r="K143" s="3">
        <v>640</v>
      </c>
      <c r="L143" s="1" t="str">
        <f>TEXT(Sales_tbl[[#This Row],[Order_Date]],"mmm")</f>
        <v>Nov</v>
      </c>
      <c r="M143" s="1">
        <f>MONTH(Sales_tbl[[#This Row],[Order_Date]])</f>
        <v>11</v>
      </c>
      <c r="N143" s="1">
        <f>YEAR(Sales_tbl[[#This Row],[Order_Date]])</f>
        <v>2025</v>
      </c>
      <c r="O143" s="4">
        <f>IFERROR(Sales_tbl[[#This Row],[Profit]]/Sales_tbl[[#This Row],[Revenue]],0)</f>
        <v>0.44444444444444442</v>
      </c>
      <c r="P143" s="1" t="str">
        <f>IF(Sales_tbl[[#This Row],[Profit]]&gt;2000, "Yes", "No")</f>
        <v>No</v>
      </c>
    </row>
    <row r="144" spans="1:16" x14ac:dyDescent="0.35">
      <c r="A144" t="s">
        <v>282</v>
      </c>
      <c r="B144" s="2" t="s">
        <v>283</v>
      </c>
      <c r="C144" t="s">
        <v>23</v>
      </c>
      <c r="D144" t="s">
        <v>39</v>
      </c>
      <c r="E144" t="s">
        <v>19</v>
      </c>
      <c r="F144" t="s">
        <v>20</v>
      </c>
      <c r="G144" s="1">
        <v>4</v>
      </c>
      <c r="H144" s="1">
        <v>140</v>
      </c>
      <c r="I144" s="3">
        <v>560</v>
      </c>
      <c r="J144" s="3">
        <v>360</v>
      </c>
      <c r="K144" s="3">
        <v>200</v>
      </c>
      <c r="L144" s="1" t="str">
        <f>TEXT(Sales_tbl[[#This Row],[Order_Date]],"mmm")</f>
        <v>Jan</v>
      </c>
      <c r="M144" s="1">
        <f>MONTH(Sales_tbl[[#This Row],[Order_Date]])</f>
        <v>1</v>
      </c>
      <c r="N144" s="1">
        <f>YEAR(Sales_tbl[[#This Row],[Order_Date]])</f>
        <v>2025</v>
      </c>
      <c r="O144" s="4">
        <f>IFERROR(Sales_tbl[[#This Row],[Profit]]/Sales_tbl[[#This Row],[Revenue]],0)</f>
        <v>0.35714285714285715</v>
      </c>
      <c r="P144" s="1" t="str">
        <f>IF(Sales_tbl[[#This Row],[Profit]]&gt;2000, "Yes", "No")</f>
        <v>No</v>
      </c>
    </row>
    <row r="145" spans="1:16" x14ac:dyDescent="0.35">
      <c r="A145" t="s">
        <v>284</v>
      </c>
      <c r="B145" s="2" t="s">
        <v>285</v>
      </c>
      <c r="C145" t="s">
        <v>12</v>
      </c>
      <c r="D145" t="s">
        <v>39</v>
      </c>
      <c r="E145" t="s">
        <v>19</v>
      </c>
      <c r="F145" t="s">
        <v>20</v>
      </c>
      <c r="G145" s="1">
        <v>20</v>
      </c>
      <c r="H145" s="1">
        <v>140</v>
      </c>
      <c r="I145" s="3">
        <v>2800</v>
      </c>
      <c r="J145" s="3">
        <v>1800</v>
      </c>
      <c r="K145" s="3">
        <v>1000</v>
      </c>
      <c r="L145" s="1" t="str">
        <f>TEXT(Sales_tbl[[#This Row],[Order_Date]],"mmm")</f>
        <v>Apr</v>
      </c>
      <c r="M145" s="1">
        <f>MONTH(Sales_tbl[[#This Row],[Order_Date]])</f>
        <v>4</v>
      </c>
      <c r="N145" s="1">
        <f>YEAR(Sales_tbl[[#This Row],[Order_Date]])</f>
        <v>2025</v>
      </c>
      <c r="O145" s="4">
        <f>IFERROR(Sales_tbl[[#This Row],[Profit]]/Sales_tbl[[#This Row],[Revenue]],0)</f>
        <v>0.35714285714285715</v>
      </c>
      <c r="P145" s="1" t="str">
        <f>IF(Sales_tbl[[#This Row],[Profit]]&gt;2000, "Yes", "No")</f>
        <v>No</v>
      </c>
    </row>
    <row r="146" spans="1:16" x14ac:dyDescent="0.35">
      <c r="A146" t="s">
        <v>286</v>
      </c>
      <c r="B146" s="2" t="s">
        <v>287</v>
      </c>
      <c r="C146" t="s">
        <v>18</v>
      </c>
      <c r="D146" t="s">
        <v>13</v>
      </c>
      <c r="E146" t="s">
        <v>57</v>
      </c>
      <c r="F146" t="s">
        <v>15</v>
      </c>
      <c r="G146" s="1">
        <v>17</v>
      </c>
      <c r="H146" s="1">
        <v>300</v>
      </c>
      <c r="I146" s="3">
        <v>5100</v>
      </c>
      <c r="J146" s="3">
        <v>3740</v>
      </c>
      <c r="K146" s="3">
        <v>1360</v>
      </c>
      <c r="L146" s="1" t="str">
        <f>TEXT(Sales_tbl[[#This Row],[Order_Date]],"mmm")</f>
        <v>Jul</v>
      </c>
      <c r="M146" s="1">
        <f>MONTH(Sales_tbl[[#This Row],[Order_Date]])</f>
        <v>7</v>
      </c>
      <c r="N146" s="1">
        <f>YEAR(Sales_tbl[[#This Row],[Order_Date]])</f>
        <v>2025</v>
      </c>
      <c r="O146" s="4">
        <f>IFERROR(Sales_tbl[[#This Row],[Profit]]/Sales_tbl[[#This Row],[Revenue]],0)</f>
        <v>0.26666666666666666</v>
      </c>
      <c r="P146" s="1" t="str">
        <f>IF(Sales_tbl[[#This Row],[Profit]]&gt;2000, "Yes", "No")</f>
        <v>No</v>
      </c>
    </row>
    <row r="147" spans="1:16" x14ac:dyDescent="0.35">
      <c r="A147" t="s">
        <v>288</v>
      </c>
      <c r="B147" s="2" t="s">
        <v>289</v>
      </c>
      <c r="C147" t="s">
        <v>12</v>
      </c>
      <c r="D147" t="s">
        <v>60</v>
      </c>
      <c r="E147" t="s">
        <v>63</v>
      </c>
      <c r="F147" t="s">
        <v>15</v>
      </c>
      <c r="G147" s="1">
        <v>8</v>
      </c>
      <c r="H147" s="1">
        <v>850</v>
      </c>
      <c r="I147" s="3">
        <v>6800</v>
      </c>
      <c r="J147" s="3">
        <v>5200</v>
      </c>
      <c r="K147" s="3">
        <v>1600</v>
      </c>
      <c r="L147" s="1" t="str">
        <f>TEXT(Sales_tbl[[#This Row],[Order_Date]],"mmm")</f>
        <v>May</v>
      </c>
      <c r="M147" s="1">
        <f>MONTH(Sales_tbl[[#This Row],[Order_Date]])</f>
        <v>5</v>
      </c>
      <c r="N147" s="1">
        <f>YEAR(Sales_tbl[[#This Row],[Order_Date]])</f>
        <v>2025</v>
      </c>
      <c r="O147" s="4">
        <f>IFERROR(Sales_tbl[[#This Row],[Profit]]/Sales_tbl[[#This Row],[Revenue]],0)</f>
        <v>0.23529411764705882</v>
      </c>
      <c r="P147" s="1" t="str">
        <f>IF(Sales_tbl[[#This Row],[Profit]]&gt;2000, "Yes", "No")</f>
        <v>No</v>
      </c>
    </row>
    <row r="148" spans="1:16" x14ac:dyDescent="0.35">
      <c r="A148" t="s">
        <v>290</v>
      </c>
      <c r="B148" s="2" t="s">
        <v>291</v>
      </c>
      <c r="C148" t="s">
        <v>18</v>
      </c>
      <c r="D148" t="s">
        <v>54</v>
      </c>
      <c r="E148" t="s">
        <v>63</v>
      </c>
      <c r="F148" t="s">
        <v>15</v>
      </c>
      <c r="G148" s="1">
        <v>4</v>
      </c>
      <c r="H148" s="1">
        <v>850</v>
      </c>
      <c r="I148" s="3">
        <v>3400</v>
      </c>
      <c r="J148" s="3">
        <v>2600</v>
      </c>
      <c r="K148" s="3">
        <v>800</v>
      </c>
      <c r="L148" s="1" t="str">
        <f>TEXT(Sales_tbl[[#This Row],[Order_Date]],"mmm")</f>
        <v>Jun</v>
      </c>
      <c r="M148" s="1">
        <f>MONTH(Sales_tbl[[#This Row],[Order_Date]])</f>
        <v>6</v>
      </c>
      <c r="N148" s="1">
        <f>YEAR(Sales_tbl[[#This Row],[Order_Date]])</f>
        <v>2025</v>
      </c>
      <c r="O148" s="4">
        <f>IFERROR(Sales_tbl[[#This Row],[Profit]]/Sales_tbl[[#This Row],[Revenue]],0)</f>
        <v>0.23529411764705882</v>
      </c>
      <c r="P148" s="1" t="str">
        <f>IF(Sales_tbl[[#This Row],[Profit]]&gt;2000, "Yes", "No")</f>
        <v>No</v>
      </c>
    </row>
    <row r="149" spans="1:16" x14ac:dyDescent="0.35">
      <c r="A149" t="s">
        <v>292</v>
      </c>
      <c r="B149" s="2" t="s">
        <v>293</v>
      </c>
      <c r="C149" t="s">
        <v>31</v>
      </c>
      <c r="D149" t="s">
        <v>32</v>
      </c>
      <c r="E149" t="s">
        <v>28</v>
      </c>
      <c r="F149" t="s">
        <v>20</v>
      </c>
      <c r="G149" s="1">
        <v>7</v>
      </c>
      <c r="H149" s="1">
        <v>220</v>
      </c>
      <c r="I149" s="3">
        <v>1540</v>
      </c>
      <c r="J149" s="3">
        <v>1050</v>
      </c>
      <c r="K149" s="3">
        <v>490</v>
      </c>
      <c r="L149" s="1" t="str">
        <f>TEXT(Sales_tbl[[#This Row],[Order_Date]],"mmm")</f>
        <v>Nov</v>
      </c>
      <c r="M149" s="1">
        <f>MONTH(Sales_tbl[[#This Row],[Order_Date]])</f>
        <v>11</v>
      </c>
      <c r="N149" s="1">
        <f>YEAR(Sales_tbl[[#This Row],[Order_Date]])</f>
        <v>2025</v>
      </c>
      <c r="O149" s="4">
        <f>IFERROR(Sales_tbl[[#This Row],[Profit]]/Sales_tbl[[#This Row],[Revenue]],0)</f>
        <v>0.31818181818181818</v>
      </c>
      <c r="P149" s="1" t="str">
        <f>IF(Sales_tbl[[#This Row],[Profit]]&gt;2000, "Yes", "No")</f>
        <v>No</v>
      </c>
    </row>
    <row r="150" spans="1:16" x14ac:dyDescent="0.35">
      <c r="A150" t="s">
        <v>294</v>
      </c>
      <c r="B150" s="2" t="s">
        <v>295</v>
      </c>
      <c r="C150" t="s">
        <v>12</v>
      </c>
      <c r="D150" t="s">
        <v>60</v>
      </c>
      <c r="E150" t="s">
        <v>35</v>
      </c>
      <c r="F150" t="s">
        <v>36</v>
      </c>
      <c r="G150" s="1">
        <v>17</v>
      </c>
      <c r="H150" s="1">
        <v>90</v>
      </c>
      <c r="I150" s="3">
        <v>1530</v>
      </c>
      <c r="J150" s="3">
        <v>850</v>
      </c>
      <c r="K150" s="3">
        <v>680</v>
      </c>
      <c r="L150" s="1" t="str">
        <f>TEXT(Sales_tbl[[#This Row],[Order_Date]],"mmm")</f>
        <v>Jun</v>
      </c>
      <c r="M150" s="1">
        <f>MONTH(Sales_tbl[[#This Row],[Order_Date]])</f>
        <v>6</v>
      </c>
      <c r="N150" s="1">
        <f>YEAR(Sales_tbl[[#This Row],[Order_Date]])</f>
        <v>2025</v>
      </c>
      <c r="O150" s="4">
        <f>IFERROR(Sales_tbl[[#This Row],[Profit]]/Sales_tbl[[#This Row],[Revenue]],0)</f>
        <v>0.44444444444444442</v>
      </c>
      <c r="P150" s="1" t="str">
        <f>IF(Sales_tbl[[#This Row],[Profit]]&gt;2000, "Yes", "No")</f>
        <v>No</v>
      </c>
    </row>
    <row r="151" spans="1:16" x14ac:dyDescent="0.35">
      <c r="A151" t="s">
        <v>296</v>
      </c>
      <c r="B151" s="2" t="s">
        <v>77</v>
      </c>
      <c r="C151" t="s">
        <v>23</v>
      </c>
      <c r="D151" t="s">
        <v>32</v>
      </c>
      <c r="E151" t="s">
        <v>19</v>
      </c>
      <c r="F151" t="s">
        <v>20</v>
      </c>
      <c r="G151" s="1">
        <v>2</v>
      </c>
      <c r="H151" s="1">
        <v>140</v>
      </c>
      <c r="I151" s="3">
        <v>280</v>
      </c>
      <c r="J151" s="3">
        <v>180</v>
      </c>
      <c r="K151" s="3">
        <v>100</v>
      </c>
      <c r="L151" s="1" t="str">
        <f>TEXT(Sales_tbl[[#This Row],[Order_Date]],"mmm")</f>
        <v>Jan</v>
      </c>
      <c r="M151" s="1">
        <f>MONTH(Sales_tbl[[#This Row],[Order_Date]])</f>
        <v>1</v>
      </c>
      <c r="N151" s="1">
        <f>YEAR(Sales_tbl[[#This Row],[Order_Date]])</f>
        <v>2025</v>
      </c>
      <c r="O151" s="4">
        <f>IFERROR(Sales_tbl[[#This Row],[Profit]]/Sales_tbl[[#This Row],[Revenue]],0)</f>
        <v>0.35714285714285715</v>
      </c>
      <c r="P151" s="1" t="str">
        <f>IF(Sales_tbl[[#This Row],[Profit]]&gt;2000, "Yes", "No")</f>
        <v>No</v>
      </c>
    </row>
    <row r="152" spans="1:16" x14ac:dyDescent="0.35">
      <c r="A152" t="s">
        <v>297</v>
      </c>
      <c r="B152" s="2" t="s">
        <v>43</v>
      </c>
      <c r="C152" t="s">
        <v>12</v>
      </c>
      <c r="D152" t="s">
        <v>13</v>
      </c>
      <c r="E152" t="s">
        <v>57</v>
      </c>
      <c r="F152" t="s">
        <v>15</v>
      </c>
      <c r="G152" s="1">
        <v>7</v>
      </c>
      <c r="H152" s="1">
        <v>300</v>
      </c>
      <c r="I152" s="3">
        <v>2100</v>
      </c>
      <c r="J152" s="3">
        <v>1540</v>
      </c>
      <c r="K152" s="3">
        <v>560</v>
      </c>
      <c r="L152" s="1" t="str">
        <f>TEXT(Sales_tbl[[#This Row],[Order_Date]],"mmm")</f>
        <v>Oct</v>
      </c>
      <c r="M152" s="1">
        <f>MONTH(Sales_tbl[[#This Row],[Order_Date]])</f>
        <v>10</v>
      </c>
      <c r="N152" s="1">
        <f>YEAR(Sales_tbl[[#This Row],[Order_Date]])</f>
        <v>2025</v>
      </c>
      <c r="O152" s="4">
        <f>IFERROR(Sales_tbl[[#This Row],[Profit]]/Sales_tbl[[#This Row],[Revenue]],0)</f>
        <v>0.26666666666666666</v>
      </c>
      <c r="P152" s="1" t="str">
        <f>IF(Sales_tbl[[#This Row],[Profit]]&gt;2000, "Yes", "No")</f>
        <v>No</v>
      </c>
    </row>
    <row r="153" spans="1:16" x14ac:dyDescent="0.35">
      <c r="A153" t="s">
        <v>298</v>
      </c>
      <c r="B153" s="2" t="s">
        <v>299</v>
      </c>
      <c r="C153" t="s">
        <v>23</v>
      </c>
      <c r="D153" t="s">
        <v>39</v>
      </c>
      <c r="E153" t="s">
        <v>19</v>
      </c>
      <c r="F153" t="s">
        <v>20</v>
      </c>
      <c r="G153" s="1">
        <v>3</v>
      </c>
      <c r="H153" s="1">
        <v>140</v>
      </c>
      <c r="I153" s="3">
        <v>420</v>
      </c>
      <c r="J153" s="3">
        <v>270</v>
      </c>
      <c r="K153" s="3">
        <v>150</v>
      </c>
      <c r="L153" s="1" t="str">
        <f>TEXT(Sales_tbl[[#This Row],[Order_Date]],"mmm")</f>
        <v>Jan</v>
      </c>
      <c r="M153" s="1">
        <f>MONTH(Sales_tbl[[#This Row],[Order_Date]])</f>
        <v>1</v>
      </c>
      <c r="N153" s="1">
        <f>YEAR(Sales_tbl[[#This Row],[Order_Date]])</f>
        <v>2025</v>
      </c>
      <c r="O153" s="4">
        <f>IFERROR(Sales_tbl[[#This Row],[Profit]]/Sales_tbl[[#This Row],[Revenue]],0)</f>
        <v>0.35714285714285715</v>
      </c>
      <c r="P153" s="1" t="str">
        <f>IF(Sales_tbl[[#This Row],[Profit]]&gt;2000, "Yes", "No")</f>
        <v>No</v>
      </c>
    </row>
    <row r="154" spans="1:16" x14ac:dyDescent="0.35">
      <c r="A154" t="s">
        <v>300</v>
      </c>
      <c r="B154" s="2" t="s">
        <v>301</v>
      </c>
      <c r="C154" t="s">
        <v>23</v>
      </c>
      <c r="D154" t="s">
        <v>60</v>
      </c>
      <c r="E154" t="s">
        <v>35</v>
      </c>
      <c r="F154" t="s">
        <v>36</v>
      </c>
      <c r="G154" s="1">
        <v>12</v>
      </c>
      <c r="H154" s="1">
        <v>90</v>
      </c>
      <c r="I154" s="3">
        <v>1080</v>
      </c>
      <c r="J154" s="3">
        <v>600</v>
      </c>
      <c r="K154" s="3">
        <v>480</v>
      </c>
      <c r="L154" s="1" t="str">
        <f>TEXT(Sales_tbl[[#This Row],[Order_Date]],"mmm")</f>
        <v>Apr</v>
      </c>
      <c r="M154" s="1">
        <f>MONTH(Sales_tbl[[#This Row],[Order_Date]])</f>
        <v>4</v>
      </c>
      <c r="N154" s="1">
        <f>YEAR(Sales_tbl[[#This Row],[Order_Date]])</f>
        <v>2025</v>
      </c>
      <c r="O154" s="4">
        <f>IFERROR(Sales_tbl[[#This Row],[Profit]]/Sales_tbl[[#This Row],[Revenue]],0)</f>
        <v>0.44444444444444442</v>
      </c>
      <c r="P154" s="1" t="str">
        <f>IF(Sales_tbl[[#This Row],[Profit]]&gt;2000, "Yes", "No")</f>
        <v>No</v>
      </c>
    </row>
    <row r="155" spans="1:16" x14ac:dyDescent="0.35">
      <c r="A155" t="s">
        <v>302</v>
      </c>
      <c r="B155" s="2" t="s">
        <v>299</v>
      </c>
      <c r="C155" t="s">
        <v>31</v>
      </c>
      <c r="D155" t="s">
        <v>39</v>
      </c>
      <c r="E155" t="s">
        <v>14</v>
      </c>
      <c r="F155" t="s">
        <v>15</v>
      </c>
      <c r="G155" s="1">
        <v>17</v>
      </c>
      <c r="H155" s="1">
        <v>600</v>
      </c>
      <c r="I155" s="3">
        <v>10200</v>
      </c>
      <c r="J155" s="3">
        <v>7310</v>
      </c>
      <c r="K155" s="3">
        <v>2890</v>
      </c>
      <c r="L155" s="1" t="str">
        <f>TEXT(Sales_tbl[[#This Row],[Order_Date]],"mmm")</f>
        <v>Jan</v>
      </c>
      <c r="M155" s="1">
        <f>MONTH(Sales_tbl[[#This Row],[Order_Date]])</f>
        <v>1</v>
      </c>
      <c r="N155" s="1">
        <f>YEAR(Sales_tbl[[#This Row],[Order_Date]])</f>
        <v>2025</v>
      </c>
      <c r="O155" s="4">
        <f>IFERROR(Sales_tbl[[#This Row],[Profit]]/Sales_tbl[[#This Row],[Revenue]],0)</f>
        <v>0.28333333333333333</v>
      </c>
      <c r="P155" s="1" t="str">
        <f>IF(Sales_tbl[[#This Row],[Profit]]&gt;2000, "Yes", "No")</f>
        <v>Yes</v>
      </c>
    </row>
    <row r="156" spans="1:16" x14ac:dyDescent="0.35">
      <c r="A156" t="s">
        <v>303</v>
      </c>
      <c r="B156" s="2" t="s">
        <v>131</v>
      </c>
      <c r="C156" t="s">
        <v>31</v>
      </c>
      <c r="D156" t="s">
        <v>26</v>
      </c>
      <c r="E156" t="s">
        <v>57</v>
      </c>
      <c r="F156" t="s">
        <v>15</v>
      </c>
      <c r="G156" s="1">
        <v>10</v>
      </c>
      <c r="H156" s="1">
        <v>300</v>
      </c>
      <c r="I156" s="3">
        <v>3000</v>
      </c>
      <c r="J156" s="3">
        <v>2200</v>
      </c>
      <c r="K156" s="3">
        <v>800</v>
      </c>
      <c r="L156" s="1" t="str">
        <f>TEXT(Sales_tbl[[#This Row],[Order_Date]],"mmm")</f>
        <v>Mar</v>
      </c>
      <c r="M156" s="1">
        <f>MONTH(Sales_tbl[[#This Row],[Order_Date]])</f>
        <v>3</v>
      </c>
      <c r="N156" s="1">
        <f>YEAR(Sales_tbl[[#This Row],[Order_Date]])</f>
        <v>2025</v>
      </c>
      <c r="O156" s="4">
        <f>IFERROR(Sales_tbl[[#This Row],[Profit]]/Sales_tbl[[#This Row],[Revenue]],0)</f>
        <v>0.26666666666666666</v>
      </c>
      <c r="P156" s="1" t="str">
        <f>IF(Sales_tbl[[#This Row],[Profit]]&gt;2000, "Yes", "No")</f>
        <v>No</v>
      </c>
    </row>
    <row r="157" spans="1:16" x14ac:dyDescent="0.35">
      <c r="A157" t="s">
        <v>304</v>
      </c>
      <c r="B157" s="2" t="s">
        <v>305</v>
      </c>
      <c r="C157" t="s">
        <v>12</v>
      </c>
      <c r="D157" t="s">
        <v>26</v>
      </c>
      <c r="E157" t="s">
        <v>19</v>
      </c>
      <c r="F157" t="s">
        <v>20</v>
      </c>
      <c r="G157" s="1">
        <v>8</v>
      </c>
      <c r="H157" s="1">
        <v>140</v>
      </c>
      <c r="I157" s="3">
        <v>1120</v>
      </c>
      <c r="J157" s="3">
        <v>720</v>
      </c>
      <c r="K157" s="3">
        <v>400</v>
      </c>
      <c r="L157" s="1" t="str">
        <f>TEXT(Sales_tbl[[#This Row],[Order_Date]],"mmm")</f>
        <v>Jul</v>
      </c>
      <c r="M157" s="1">
        <f>MONTH(Sales_tbl[[#This Row],[Order_Date]])</f>
        <v>7</v>
      </c>
      <c r="N157" s="1">
        <f>YEAR(Sales_tbl[[#This Row],[Order_Date]])</f>
        <v>2025</v>
      </c>
      <c r="O157" s="4">
        <f>IFERROR(Sales_tbl[[#This Row],[Profit]]/Sales_tbl[[#This Row],[Revenue]],0)</f>
        <v>0.35714285714285715</v>
      </c>
      <c r="P157" s="1" t="str">
        <f>IF(Sales_tbl[[#This Row],[Profit]]&gt;2000, "Yes", "No")</f>
        <v>No</v>
      </c>
    </row>
    <row r="158" spans="1:16" x14ac:dyDescent="0.35">
      <c r="A158" t="s">
        <v>306</v>
      </c>
      <c r="B158" s="2" t="s">
        <v>307</v>
      </c>
      <c r="C158" t="s">
        <v>18</v>
      </c>
      <c r="D158" t="s">
        <v>39</v>
      </c>
      <c r="E158" t="s">
        <v>28</v>
      </c>
      <c r="F158" t="s">
        <v>20</v>
      </c>
      <c r="G158" s="1">
        <v>14</v>
      </c>
      <c r="H158" s="1">
        <v>220</v>
      </c>
      <c r="I158" s="3">
        <v>3080</v>
      </c>
      <c r="J158" s="3">
        <v>2100</v>
      </c>
      <c r="K158" s="3">
        <v>980</v>
      </c>
      <c r="L158" s="1" t="str">
        <f>TEXT(Sales_tbl[[#This Row],[Order_Date]],"mmm")</f>
        <v>Mar</v>
      </c>
      <c r="M158" s="1">
        <f>MONTH(Sales_tbl[[#This Row],[Order_Date]])</f>
        <v>3</v>
      </c>
      <c r="N158" s="1">
        <f>YEAR(Sales_tbl[[#This Row],[Order_Date]])</f>
        <v>2025</v>
      </c>
      <c r="O158" s="4">
        <f>IFERROR(Sales_tbl[[#This Row],[Profit]]/Sales_tbl[[#This Row],[Revenue]],0)</f>
        <v>0.31818181818181818</v>
      </c>
      <c r="P158" s="1" t="str">
        <f>IF(Sales_tbl[[#This Row],[Profit]]&gt;2000, "Yes", "No")</f>
        <v>No</v>
      </c>
    </row>
    <row r="159" spans="1:16" x14ac:dyDescent="0.35">
      <c r="A159" t="s">
        <v>308</v>
      </c>
      <c r="B159" s="2" t="s">
        <v>309</v>
      </c>
      <c r="C159" t="s">
        <v>31</v>
      </c>
      <c r="D159" t="s">
        <v>32</v>
      </c>
      <c r="E159" t="s">
        <v>14</v>
      </c>
      <c r="F159" t="s">
        <v>15</v>
      </c>
      <c r="G159" s="1">
        <v>12</v>
      </c>
      <c r="H159" s="1">
        <v>600</v>
      </c>
      <c r="I159" s="3">
        <v>7200</v>
      </c>
      <c r="J159" s="3">
        <v>5160</v>
      </c>
      <c r="K159" s="3">
        <v>2040</v>
      </c>
      <c r="L159" s="1" t="str">
        <f>TEXT(Sales_tbl[[#This Row],[Order_Date]],"mmm")</f>
        <v>Mar</v>
      </c>
      <c r="M159" s="1">
        <f>MONTH(Sales_tbl[[#This Row],[Order_Date]])</f>
        <v>3</v>
      </c>
      <c r="N159" s="1">
        <f>YEAR(Sales_tbl[[#This Row],[Order_Date]])</f>
        <v>2025</v>
      </c>
      <c r="O159" s="4">
        <f>IFERROR(Sales_tbl[[#This Row],[Profit]]/Sales_tbl[[#This Row],[Revenue]],0)</f>
        <v>0.28333333333333333</v>
      </c>
      <c r="P159" s="1" t="str">
        <f>IF(Sales_tbl[[#This Row],[Profit]]&gt;2000, "Yes", "No")</f>
        <v>Yes</v>
      </c>
    </row>
    <row r="160" spans="1:16" x14ac:dyDescent="0.35">
      <c r="A160" t="s">
        <v>310</v>
      </c>
      <c r="B160" s="2" t="s">
        <v>62</v>
      </c>
      <c r="C160" t="s">
        <v>12</v>
      </c>
      <c r="D160" t="s">
        <v>26</v>
      </c>
      <c r="E160" t="s">
        <v>28</v>
      </c>
      <c r="F160" t="s">
        <v>20</v>
      </c>
      <c r="G160" s="1">
        <v>14</v>
      </c>
      <c r="H160" s="1">
        <v>220</v>
      </c>
      <c r="I160" s="3">
        <v>3080</v>
      </c>
      <c r="J160" s="3">
        <v>2100</v>
      </c>
      <c r="K160" s="3">
        <v>980</v>
      </c>
      <c r="L160" s="1" t="str">
        <f>TEXT(Sales_tbl[[#This Row],[Order_Date]],"mmm")</f>
        <v>Nov</v>
      </c>
      <c r="M160" s="1">
        <f>MONTH(Sales_tbl[[#This Row],[Order_Date]])</f>
        <v>11</v>
      </c>
      <c r="N160" s="1">
        <f>YEAR(Sales_tbl[[#This Row],[Order_Date]])</f>
        <v>2025</v>
      </c>
      <c r="O160" s="4">
        <f>IFERROR(Sales_tbl[[#This Row],[Profit]]/Sales_tbl[[#This Row],[Revenue]],0)</f>
        <v>0.31818181818181818</v>
      </c>
      <c r="P160" s="1" t="str">
        <f>IF(Sales_tbl[[#This Row],[Profit]]&gt;2000, "Yes", "No")</f>
        <v>No</v>
      </c>
    </row>
    <row r="161" spans="1:16" x14ac:dyDescent="0.35">
      <c r="A161" t="s">
        <v>311</v>
      </c>
      <c r="B161" s="2" t="s">
        <v>312</v>
      </c>
      <c r="C161" t="s">
        <v>23</v>
      </c>
      <c r="D161" t="s">
        <v>13</v>
      </c>
      <c r="E161" t="s">
        <v>63</v>
      </c>
      <c r="F161" t="s">
        <v>15</v>
      </c>
      <c r="G161" s="1">
        <v>13</v>
      </c>
      <c r="H161" s="1">
        <v>850</v>
      </c>
      <c r="I161" s="3">
        <v>11050</v>
      </c>
      <c r="J161" s="3">
        <v>8450</v>
      </c>
      <c r="K161" s="3">
        <v>2600</v>
      </c>
      <c r="L161" s="1" t="str">
        <f>TEXT(Sales_tbl[[#This Row],[Order_Date]],"mmm")</f>
        <v>Feb</v>
      </c>
      <c r="M161" s="1">
        <f>MONTH(Sales_tbl[[#This Row],[Order_Date]])</f>
        <v>2</v>
      </c>
      <c r="N161" s="1">
        <f>YEAR(Sales_tbl[[#This Row],[Order_Date]])</f>
        <v>2025</v>
      </c>
      <c r="O161" s="4">
        <f>IFERROR(Sales_tbl[[#This Row],[Profit]]/Sales_tbl[[#This Row],[Revenue]],0)</f>
        <v>0.23529411764705882</v>
      </c>
      <c r="P161" s="1" t="str">
        <f>IF(Sales_tbl[[#This Row],[Profit]]&gt;2000, "Yes", "No")</f>
        <v>Yes</v>
      </c>
    </row>
    <row r="162" spans="1:16" x14ac:dyDescent="0.35">
      <c r="A162" t="s">
        <v>313</v>
      </c>
      <c r="B162" s="2" t="s">
        <v>314</v>
      </c>
      <c r="C162" t="s">
        <v>12</v>
      </c>
      <c r="D162" t="s">
        <v>39</v>
      </c>
      <c r="E162" t="s">
        <v>14</v>
      </c>
      <c r="F162" t="s">
        <v>15</v>
      </c>
      <c r="G162" s="1">
        <v>13</v>
      </c>
      <c r="H162" s="1">
        <v>600</v>
      </c>
      <c r="I162" s="3">
        <v>7800</v>
      </c>
      <c r="J162" s="3">
        <v>5590</v>
      </c>
      <c r="K162" s="3">
        <v>2210</v>
      </c>
      <c r="L162" s="1" t="str">
        <f>TEXT(Sales_tbl[[#This Row],[Order_Date]],"mmm")</f>
        <v>Aug</v>
      </c>
      <c r="M162" s="1">
        <f>MONTH(Sales_tbl[[#This Row],[Order_Date]])</f>
        <v>8</v>
      </c>
      <c r="N162" s="1">
        <f>YEAR(Sales_tbl[[#This Row],[Order_Date]])</f>
        <v>2025</v>
      </c>
      <c r="O162" s="4">
        <f>IFERROR(Sales_tbl[[#This Row],[Profit]]/Sales_tbl[[#This Row],[Revenue]],0)</f>
        <v>0.28333333333333333</v>
      </c>
      <c r="P162" s="1" t="str">
        <f>IF(Sales_tbl[[#This Row],[Profit]]&gt;2000, "Yes", "No")</f>
        <v>Yes</v>
      </c>
    </row>
    <row r="163" spans="1:16" x14ac:dyDescent="0.35">
      <c r="A163" t="s">
        <v>315</v>
      </c>
      <c r="B163" s="2" t="s">
        <v>316</v>
      </c>
      <c r="C163" t="s">
        <v>12</v>
      </c>
      <c r="D163" t="s">
        <v>60</v>
      </c>
      <c r="E163" t="s">
        <v>57</v>
      </c>
      <c r="F163" t="s">
        <v>15</v>
      </c>
      <c r="G163" s="1">
        <v>19</v>
      </c>
      <c r="H163" s="1">
        <v>300</v>
      </c>
      <c r="I163" s="3">
        <v>5700</v>
      </c>
      <c r="J163" s="3">
        <v>4180</v>
      </c>
      <c r="K163" s="3">
        <v>1520</v>
      </c>
      <c r="L163" s="1" t="str">
        <f>TEXT(Sales_tbl[[#This Row],[Order_Date]],"mmm")</f>
        <v>Oct</v>
      </c>
      <c r="M163" s="1">
        <f>MONTH(Sales_tbl[[#This Row],[Order_Date]])</f>
        <v>10</v>
      </c>
      <c r="N163" s="1">
        <f>YEAR(Sales_tbl[[#This Row],[Order_Date]])</f>
        <v>2025</v>
      </c>
      <c r="O163" s="4">
        <f>IFERROR(Sales_tbl[[#This Row],[Profit]]/Sales_tbl[[#This Row],[Revenue]],0)</f>
        <v>0.26666666666666666</v>
      </c>
      <c r="P163" s="1" t="str">
        <f>IF(Sales_tbl[[#This Row],[Profit]]&gt;2000, "Yes", "No")</f>
        <v>No</v>
      </c>
    </row>
    <row r="164" spans="1:16" x14ac:dyDescent="0.35">
      <c r="A164" t="s">
        <v>317</v>
      </c>
      <c r="B164" s="2" t="s">
        <v>318</v>
      </c>
      <c r="C164" t="s">
        <v>31</v>
      </c>
      <c r="D164" t="s">
        <v>32</v>
      </c>
      <c r="E164" t="s">
        <v>35</v>
      </c>
      <c r="F164" t="s">
        <v>36</v>
      </c>
      <c r="G164" s="1">
        <v>20</v>
      </c>
      <c r="H164" s="1">
        <v>90</v>
      </c>
      <c r="I164" s="3">
        <v>1800</v>
      </c>
      <c r="J164" s="3">
        <v>1000</v>
      </c>
      <c r="K164" s="3">
        <v>800</v>
      </c>
      <c r="L164" s="1" t="str">
        <f>TEXT(Sales_tbl[[#This Row],[Order_Date]],"mmm")</f>
        <v>May</v>
      </c>
      <c r="M164" s="1">
        <f>MONTH(Sales_tbl[[#This Row],[Order_Date]])</f>
        <v>5</v>
      </c>
      <c r="N164" s="1">
        <f>YEAR(Sales_tbl[[#This Row],[Order_Date]])</f>
        <v>2025</v>
      </c>
      <c r="O164" s="4">
        <f>IFERROR(Sales_tbl[[#This Row],[Profit]]/Sales_tbl[[#This Row],[Revenue]],0)</f>
        <v>0.44444444444444442</v>
      </c>
      <c r="P164" s="1" t="str">
        <f>IF(Sales_tbl[[#This Row],[Profit]]&gt;2000, "Yes", "No")</f>
        <v>No</v>
      </c>
    </row>
    <row r="165" spans="1:16" x14ac:dyDescent="0.35">
      <c r="A165" t="s">
        <v>319</v>
      </c>
      <c r="B165" s="2" t="s">
        <v>320</v>
      </c>
      <c r="C165" t="s">
        <v>18</v>
      </c>
      <c r="D165" t="s">
        <v>32</v>
      </c>
      <c r="E165" t="s">
        <v>28</v>
      </c>
      <c r="F165" t="s">
        <v>20</v>
      </c>
      <c r="G165" s="1">
        <v>4</v>
      </c>
      <c r="H165" s="1">
        <v>220</v>
      </c>
      <c r="I165" s="3">
        <v>880</v>
      </c>
      <c r="J165" s="3">
        <v>600</v>
      </c>
      <c r="K165" s="3">
        <v>280</v>
      </c>
      <c r="L165" s="1" t="str">
        <f>TEXT(Sales_tbl[[#This Row],[Order_Date]],"mmm")</f>
        <v>Feb</v>
      </c>
      <c r="M165" s="1">
        <f>MONTH(Sales_tbl[[#This Row],[Order_Date]])</f>
        <v>2</v>
      </c>
      <c r="N165" s="1">
        <f>YEAR(Sales_tbl[[#This Row],[Order_Date]])</f>
        <v>2025</v>
      </c>
      <c r="O165" s="4">
        <f>IFERROR(Sales_tbl[[#This Row],[Profit]]/Sales_tbl[[#This Row],[Revenue]],0)</f>
        <v>0.31818181818181818</v>
      </c>
      <c r="P165" s="1" t="str">
        <f>IF(Sales_tbl[[#This Row],[Profit]]&gt;2000, "Yes", "No")</f>
        <v>No</v>
      </c>
    </row>
    <row r="166" spans="1:16" x14ac:dyDescent="0.35">
      <c r="A166" t="s">
        <v>321</v>
      </c>
      <c r="B166" s="2" t="s">
        <v>123</v>
      </c>
      <c r="C166" t="s">
        <v>18</v>
      </c>
      <c r="D166" t="s">
        <v>60</v>
      </c>
      <c r="E166" t="s">
        <v>35</v>
      </c>
      <c r="F166" t="s">
        <v>36</v>
      </c>
      <c r="G166" s="1">
        <v>14</v>
      </c>
      <c r="H166" s="1">
        <v>90</v>
      </c>
      <c r="I166" s="3">
        <v>1260</v>
      </c>
      <c r="J166" s="3">
        <v>700</v>
      </c>
      <c r="K166" s="3">
        <v>560</v>
      </c>
      <c r="L166" s="1" t="str">
        <f>TEXT(Sales_tbl[[#This Row],[Order_Date]],"mmm")</f>
        <v>Apr</v>
      </c>
      <c r="M166" s="1">
        <f>MONTH(Sales_tbl[[#This Row],[Order_Date]])</f>
        <v>4</v>
      </c>
      <c r="N166" s="1">
        <f>YEAR(Sales_tbl[[#This Row],[Order_Date]])</f>
        <v>2025</v>
      </c>
      <c r="O166" s="4">
        <f>IFERROR(Sales_tbl[[#This Row],[Profit]]/Sales_tbl[[#This Row],[Revenue]],0)</f>
        <v>0.44444444444444442</v>
      </c>
      <c r="P166" s="1" t="str">
        <f>IF(Sales_tbl[[#This Row],[Profit]]&gt;2000, "Yes", "No")</f>
        <v>No</v>
      </c>
    </row>
    <row r="167" spans="1:16" x14ac:dyDescent="0.35">
      <c r="A167" t="s">
        <v>322</v>
      </c>
      <c r="B167" s="2" t="s">
        <v>256</v>
      </c>
      <c r="C167" t="s">
        <v>31</v>
      </c>
      <c r="D167" t="s">
        <v>32</v>
      </c>
      <c r="E167" t="s">
        <v>28</v>
      </c>
      <c r="F167" t="s">
        <v>20</v>
      </c>
      <c r="G167" s="1">
        <v>14</v>
      </c>
      <c r="H167" s="1">
        <v>220</v>
      </c>
      <c r="I167" s="3">
        <v>3080</v>
      </c>
      <c r="J167" s="3">
        <v>2100</v>
      </c>
      <c r="K167" s="3">
        <v>980</v>
      </c>
      <c r="L167" s="1" t="str">
        <f>TEXT(Sales_tbl[[#This Row],[Order_Date]],"mmm")</f>
        <v>Oct</v>
      </c>
      <c r="M167" s="1">
        <f>MONTH(Sales_tbl[[#This Row],[Order_Date]])</f>
        <v>10</v>
      </c>
      <c r="N167" s="1">
        <f>YEAR(Sales_tbl[[#This Row],[Order_Date]])</f>
        <v>2025</v>
      </c>
      <c r="O167" s="4">
        <f>IFERROR(Sales_tbl[[#This Row],[Profit]]/Sales_tbl[[#This Row],[Revenue]],0)</f>
        <v>0.31818181818181818</v>
      </c>
      <c r="P167" s="1" t="str">
        <f>IF(Sales_tbl[[#This Row],[Profit]]&gt;2000, "Yes", "No")</f>
        <v>No</v>
      </c>
    </row>
    <row r="168" spans="1:16" x14ac:dyDescent="0.35">
      <c r="A168" t="s">
        <v>323</v>
      </c>
      <c r="B168" s="2" t="s">
        <v>62</v>
      </c>
      <c r="C168" t="s">
        <v>23</v>
      </c>
      <c r="D168" t="s">
        <v>60</v>
      </c>
      <c r="E168" t="s">
        <v>57</v>
      </c>
      <c r="F168" t="s">
        <v>15</v>
      </c>
      <c r="G168" s="1">
        <v>18</v>
      </c>
      <c r="H168" s="1">
        <v>300</v>
      </c>
      <c r="I168" s="3">
        <v>5400</v>
      </c>
      <c r="J168" s="3">
        <v>3960</v>
      </c>
      <c r="K168" s="3">
        <v>1440</v>
      </c>
      <c r="L168" s="1" t="str">
        <f>TEXT(Sales_tbl[[#This Row],[Order_Date]],"mmm")</f>
        <v>Nov</v>
      </c>
      <c r="M168" s="1">
        <f>MONTH(Sales_tbl[[#This Row],[Order_Date]])</f>
        <v>11</v>
      </c>
      <c r="N168" s="1">
        <f>YEAR(Sales_tbl[[#This Row],[Order_Date]])</f>
        <v>2025</v>
      </c>
      <c r="O168" s="4">
        <f>IFERROR(Sales_tbl[[#This Row],[Profit]]/Sales_tbl[[#This Row],[Revenue]],0)</f>
        <v>0.26666666666666666</v>
      </c>
      <c r="P168" s="1" t="str">
        <f>IF(Sales_tbl[[#This Row],[Profit]]&gt;2000, "Yes", "No")</f>
        <v>No</v>
      </c>
    </row>
    <row r="169" spans="1:16" x14ac:dyDescent="0.35">
      <c r="A169" t="s">
        <v>324</v>
      </c>
      <c r="B169" s="2" t="s">
        <v>239</v>
      </c>
      <c r="C169" t="s">
        <v>31</v>
      </c>
      <c r="D169" t="s">
        <v>32</v>
      </c>
      <c r="E169" t="s">
        <v>28</v>
      </c>
      <c r="F169" t="s">
        <v>20</v>
      </c>
      <c r="G169" s="1">
        <v>6</v>
      </c>
      <c r="H169" s="1">
        <v>220</v>
      </c>
      <c r="I169" s="3">
        <v>1320</v>
      </c>
      <c r="J169" s="3">
        <v>900</v>
      </c>
      <c r="K169" s="3">
        <v>420</v>
      </c>
      <c r="L169" s="1" t="str">
        <f>TEXT(Sales_tbl[[#This Row],[Order_Date]],"mmm")</f>
        <v>Aug</v>
      </c>
      <c r="M169" s="1">
        <f>MONTH(Sales_tbl[[#This Row],[Order_Date]])</f>
        <v>8</v>
      </c>
      <c r="N169" s="1">
        <f>YEAR(Sales_tbl[[#This Row],[Order_Date]])</f>
        <v>2025</v>
      </c>
      <c r="O169" s="4">
        <f>IFERROR(Sales_tbl[[#This Row],[Profit]]/Sales_tbl[[#This Row],[Revenue]],0)</f>
        <v>0.31818181818181818</v>
      </c>
      <c r="P169" s="1" t="str">
        <f>IF(Sales_tbl[[#This Row],[Profit]]&gt;2000, "Yes", "No")</f>
        <v>No</v>
      </c>
    </row>
    <row r="170" spans="1:16" x14ac:dyDescent="0.35">
      <c r="A170" t="s">
        <v>325</v>
      </c>
      <c r="B170" s="2" t="s">
        <v>326</v>
      </c>
      <c r="C170" t="s">
        <v>31</v>
      </c>
      <c r="D170" t="s">
        <v>32</v>
      </c>
      <c r="E170" t="s">
        <v>57</v>
      </c>
      <c r="F170" t="s">
        <v>15</v>
      </c>
      <c r="G170" s="1">
        <v>18</v>
      </c>
      <c r="H170" s="1">
        <v>300</v>
      </c>
      <c r="I170" s="3">
        <v>5400</v>
      </c>
      <c r="J170" s="3">
        <v>3960</v>
      </c>
      <c r="K170" s="3">
        <v>1440</v>
      </c>
      <c r="L170" s="1" t="str">
        <f>TEXT(Sales_tbl[[#This Row],[Order_Date]],"mmm")</f>
        <v>Jul</v>
      </c>
      <c r="M170" s="1">
        <f>MONTH(Sales_tbl[[#This Row],[Order_Date]])</f>
        <v>7</v>
      </c>
      <c r="N170" s="1">
        <f>YEAR(Sales_tbl[[#This Row],[Order_Date]])</f>
        <v>2025</v>
      </c>
      <c r="O170" s="4">
        <f>IFERROR(Sales_tbl[[#This Row],[Profit]]/Sales_tbl[[#This Row],[Revenue]],0)</f>
        <v>0.26666666666666666</v>
      </c>
      <c r="P170" s="1" t="str">
        <f>IF(Sales_tbl[[#This Row],[Profit]]&gt;2000, "Yes", "No")</f>
        <v>No</v>
      </c>
    </row>
    <row r="171" spans="1:16" x14ac:dyDescent="0.35">
      <c r="A171" t="s">
        <v>327</v>
      </c>
      <c r="B171" s="2" t="s">
        <v>328</v>
      </c>
      <c r="C171" t="s">
        <v>23</v>
      </c>
      <c r="D171" t="s">
        <v>54</v>
      </c>
      <c r="E171" t="s">
        <v>28</v>
      </c>
      <c r="F171" t="s">
        <v>20</v>
      </c>
      <c r="G171" s="1">
        <v>2</v>
      </c>
      <c r="H171" s="1">
        <v>220</v>
      </c>
      <c r="I171" s="3">
        <v>440</v>
      </c>
      <c r="J171" s="3">
        <v>300</v>
      </c>
      <c r="K171" s="3">
        <v>140</v>
      </c>
      <c r="L171" s="1" t="str">
        <f>TEXT(Sales_tbl[[#This Row],[Order_Date]],"mmm")</f>
        <v>Apr</v>
      </c>
      <c r="M171" s="1">
        <f>MONTH(Sales_tbl[[#This Row],[Order_Date]])</f>
        <v>4</v>
      </c>
      <c r="N171" s="1">
        <f>YEAR(Sales_tbl[[#This Row],[Order_Date]])</f>
        <v>2025</v>
      </c>
      <c r="O171" s="4">
        <f>IFERROR(Sales_tbl[[#This Row],[Profit]]/Sales_tbl[[#This Row],[Revenue]],0)</f>
        <v>0.31818181818181818</v>
      </c>
      <c r="P171" s="1" t="str">
        <f>IF(Sales_tbl[[#This Row],[Profit]]&gt;2000, "Yes", "No")</f>
        <v>No</v>
      </c>
    </row>
    <row r="172" spans="1:16" x14ac:dyDescent="0.35">
      <c r="A172" t="s">
        <v>329</v>
      </c>
      <c r="B172" s="2" t="s">
        <v>330</v>
      </c>
      <c r="C172" t="s">
        <v>12</v>
      </c>
      <c r="D172" t="s">
        <v>54</v>
      </c>
      <c r="E172" t="s">
        <v>35</v>
      </c>
      <c r="F172" t="s">
        <v>36</v>
      </c>
      <c r="G172" s="1">
        <v>17</v>
      </c>
      <c r="H172" s="1">
        <v>90</v>
      </c>
      <c r="I172" s="3">
        <v>1530</v>
      </c>
      <c r="J172" s="3">
        <v>850</v>
      </c>
      <c r="K172" s="3">
        <v>680</v>
      </c>
      <c r="L172" s="1" t="str">
        <f>TEXT(Sales_tbl[[#This Row],[Order_Date]],"mmm")</f>
        <v>Jun</v>
      </c>
      <c r="M172" s="1">
        <f>MONTH(Sales_tbl[[#This Row],[Order_Date]])</f>
        <v>6</v>
      </c>
      <c r="N172" s="1">
        <f>YEAR(Sales_tbl[[#This Row],[Order_Date]])</f>
        <v>2025</v>
      </c>
      <c r="O172" s="4">
        <f>IFERROR(Sales_tbl[[#This Row],[Profit]]/Sales_tbl[[#This Row],[Revenue]],0)</f>
        <v>0.44444444444444442</v>
      </c>
      <c r="P172" s="1" t="str">
        <f>IF(Sales_tbl[[#This Row],[Profit]]&gt;2000, "Yes", "No")</f>
        <v>No</v>
      </c>
    </row>
    <row r="173" spans="1:16" x14ac:dyDescent="0.35">
      <c r="A173" t="s">
        <v>331</v>
      </c>
      <c r="B173" s="2" t="s">
        <v>332</v>
      </c>
      <c r="C173" t="s">
        <v>31</v>
      </c>
      <c r="D173" t="s">
        <v>32</v>
      </c>
      <c r="E173" t="s">
        <v>19</v>
      </c>
      <c r="F173" t="s">
        <v>20</v>
      </c>
      <c r="G173" s="1">
        <v>20</v>
      </c>
      <c r="H173" s="1">
        <v>140</v>
      </c>
      <c r="I173" s="3">
        <v>2800</v>
      </c>
      <c r="J173" s="3">
        <v>1800</v>
      </c>
      <c r="K173" s="3">
        <v>1000</v>
      </c>
      <c r="L173" s="1" t="str">
        <f>TEXT(Sales_tbl[[#This Row],[Order_Date]],"mmm")</f>
        <v>Feb</v>
      </c>
      <c r="M173" s="1">
        <f>MONTH(Sales_tbl[[#This Row],[Order_Date]])</f>
        <v>2</v>
      </c>
      <c r="N173" s="1">
        <f>YEAR(Sales_tbl[[#This Row],[Order_Date]])</f>
        <v>2025</v>
      </c>
      <c r="O173" s="4">
        <f>IFERROR(Sales_tbl[[#This Row],[Profit]]/Sales_tbl[[#This Row],[Revenue]],0)</f>
        <v>0.35714285714285715</v>
      </c>
      <c r="P173" s="1" t="str">
        <f>IF(Sales_tbl[[#This Row],[Profit]]&gt;2000, "Yes", "No")</f>
        <v>No</v>
      </c>
    </row>
    <row r="174" spans="1:16" x14ac:dyDescent="0.35">
      <c r="A174" t="s">
        <v>333</v>
      </c>
      <c r="B174" s="2" t="s">
        <v>334</v>
      </c>
      <c r="C174" t="s">
        <v>18</v>
      </c>
      <c r="D174" t="s">
        <v>60</v>
      </c>
      <c r="E174" t="s">
        <v>14</v>
      </c>
      <c r="F174" t="s">
        <v>15</v>
      </c>
      <c r="G174" s="1">
        <v>5</v>
      </c>
      <c r="H174" s="1">
        <v>600</v>
      </c>
      <c r="I174" s="3">
        <v>3000</v>
      </c>
      <c r="J174" s="3">
        <v>2150</v>
      </c>
      <c r="K174" s="3">
        <v>850</v>
      </c>
      <c r="L174" s="1" t="str">
        <f>TEXT(Sales_tbl[[#This Row],[Order_Date]],"mmm")</f>
        <v>Aug</v>
      </c>
      <c r="M174" s="1">
        <f>MONTH(Sales_tbl[[#This Row],[Order_Date]])</f>
        <v>8</v>
      </c>
      <c r="N174" s="1">
        <f>YEAR(Sales_tbl[[#This Row],[Order_Date]])</f>
        <v>2025</v>
      </c>
      <c r="O174" s="4">
        <f>IFERROR(Sales_tbl[[#This Row],[Profit]]/Sales_tbl[[#This Row],[Revenue]],0)</f>
        <v>0.28333333333333333</v>
      </c>
      <c r="P174" s="1" t="str">
        <f>IF(Sales_tbl[[#This Row],[Profit]]&gt;2000, "Yes", "No")</f>
        <v>No</v>
      </c>
    </row>
    <row r="175" spans="1:16" x14ac:dyDescent="0.35">
      <c r="A175" t="s">
        <v>335</v>
      </c>
      <c r="B175" s="2" t="s">
        <v>116</v>
      </c>
      <c r="C175" t="s">
        <v>18</v>
      </c>
      <c r="D175" t="s">
        <v>54</v>
      </c>
      <c r="E175" t="s">
        <v>35</v>
      </c>
      <c r="F175" t="s">
        <v>36</v>
      </c>
      <c r="G175" s="1">
        <v>20</v>
      </c>
      <c r="H175" s="1">
        <v>90</v>
      </c>
      <c r="I175" s="3">
        <v>1800</v>
      </c>
      <c r="J175" s="3">
        <v>1000</v>
      </c>
      <c r="K175" s="3">
        <v>800</v>
      </c>
      <c r="L175" s="1" t="str">
        <f>TEXT(Sales_tbl[[#This Row],[Order_Date]],"mmm")</f>
        <v>Jul</v>
      </c>
      <c r="M175" s="1">
        <f>MONTH(Sales_tbl[[#This Row],[Order_Date]])</f>
        <v>7</v>
      </c>
      <c r="N175" s="1">
        <f>YEAR(Sales_tbl[[#This Row],[Order_Date]])</f>
        <v>2025</v>
      </c>
      <c r="O175" s="4">
        <f>IFERROR(Sales_tbl[[#This Row],[Profit]]/Sales_tbl[[#This Row],[Revenue]],0)</f>
        <v>0.44444444444444442</v>
      </c>
      <c r="P175" s="1" t="str">
        <f>IF(Sales_tbl[[#This Row],[Profit]]&gt;2000, "Yes", "No")</f>
        <v>No</v>
      </c>
    </row>
    <row r="176" spans="1:16" x14ac:dyDescent="0.35">
      <c r="A176" t="s">
        <v>336</v>
      </c>
      <c r="B176" s="2" t="s">
        <v>337</v>
      </c>
      <c r="C176" t="s">
        <v>12</v>
      </c>
      <c r="D176" t="s">
        <v>60</v>
      </c>
      <c r="E176" t="s">
        <v>63</v>
      </c>
      <c r="F176" t="s">
        <v>15</v>
      </c>
      <c r="G176" s="1">
        <v>9</v>
      </c>
      <c r="H176" s="1">
        <v>850</v>
      </c>
      <c r="I176" s="3">
        <v>7650</v>
      </c>
      <c r="J176" s="3">
        <v>5850</v>
      </c>
      <c r="K176" s="3">
        <v>1800</v>
      </c>
      <c r="L176" s="1" t="str">
        <f>TEXT(Sales_tbl[[#This Row],[Order_Date]],"mmm")</f>
        <v>Nov</v>
      </c>
      <c r="M176" s="1">
        <f>MONTH(Sales_tbl[[#This Row],[Order_Date]])</f>
        <v>11</v>
      </c>
      <c r="N176" s="1">
        <f>YEAR(Sales_tbl[[#This Row],[Order_Date]])</f>
        <v>2025</v>
      </c>
      <c r="O176" s="4">
        <f>IFERROR(Sales_tbl[[#This Row],[Profit]]/Sales_tbl[[#This Row],[Revenue]],0)</f>
        <v>0.23529411764705882</v>
      </c>
      <c r="P176" s="1" t="str">
        <f>IF(Sales_tbl[[#This Row],[Profit]]&gt;2000, "Yes", "No")</f>
        <v>No</v>
      </c>
    </row>
    <row r="177" spans="1:16" x14ac:dyDescent="0.35">
      <c r="A177" t="s">
        <v>338</v>
      </c>
      <c r="B177" s="2" t="s">
        <v>339</v>
      </c>
      <c r="C177" t="s">
        <v>23</v>
      </c>
      <c r="D177" t="s">
        <v>60</v>
      </c>
      <c r="E177" t="s">
        <v>63</v>
      </c>
      <c r="F177" t="s">
        <v>15</v>
      </c>
      <c r="G177" s="1">
        <v>14</v>
      </c>
      <c r="H177" s="1">
        <v>850</v>
      </c>
      <c r="I177" s="3">
        <v>11900</v>
      </c>
      <c r="J177" s="3">
        <v>9100</v>
      </c>
      <c r="K177" s="3">
        <v>2800</v>
      </c>
      <c r="L177" s="1" t="str">
        <f>TEXT(Sales_tbl[[#This Row],[Order_Date]],"mmm")</f>
        <v>Jun</v>
      </c>
      <c r="M177" s="1">
        <f>MONTH(Sales_tbl[[#This Row],[Order_Date]])</f>
        <v>6</v>
      </c>
      <c r="N177" s="1">
        <f>YEAR(Sales_tbl[[#This Row],[Order_Date]])</f>
        <v>2025</v>
      </c>
      <c r="O177" s="4">
        <f>IFERROR(Sales_tbl[[#This Row],[Profit]]/Sales_tbl[[#This Row],[Revenue]],0)</f>
        <v>0.23529411764705882</v>
      </c>
      <c r="P177" s="1" t="str">
        <f>IF(Sales_tbl[[#This Row],[Profit]]&gt;2000, "Yes", "No")</f>
        <v>Yes</v>
      </c>
    </row>
    <row r="178" spans="1:16" x14ac:dyDescent="0.35">
      <c r="A178" t="s">
        <v>340</v>
      </c>
      <c r="B178" s="2" t="s">
        <v>341</v>
      </c>
      <c r="C178" t="s">
        <v>31</v>
      </c>
      <c r="D178" t="s">
        <v>60</v>
      </c>
      <c r="E178" t="s">
        <v>57</v>
      </c>
      <c r="F178" t="s">
        <v>15</v>
      </c>
      <c r="G178" s="1">
        <v>9</v>
      </c>
      <c r="H178" s="1">
        <v>300</v>
      </c>
      <c r="I178" s="3">
        <v>2700</v>
      </c>
      <c r="J178" s="3">
        <v>1980</v>
      </c>
      <c r="K178" s="3">
        <v>720</v>
      </c>
      <c r="L178" s="1" t="str">
        <f>TEXT(Sales_tbl[[#This Row],[Order_Date]],"mmm")</f>
        <v>Aug</v>
      </c>
      <c r="M178" s="1">
        <f>MONTH(Sales_tbl[[#This Row],[Order_Date]])</f>
        <v>8</v>
      </c>
      <c r="N178" s="1">
        <f>YEAR(Sales_tbl[[#This Row],[Order_Date]])</f>
        <v>2025</v>
      </c>
      <c r="O178" s="4">
        <f>IFERROR(Sales_tbl[[#This Row],[Profit]]/Sales_tbl[[#This Row],[Revenue]],0)</f>
        <v>0.26666666666666666</v>
      </c>
      <c r="P178" s="1" t="str">
        <f>IF(Sales_tbl[[#This Row],[Profit]]&gt;2000, "Yes", "No")</f>
        <v>No</v>
      </c>
    </row>
    <row r="179" spans="1:16" x14ac:dyDescent="0.35">
      <c r="A179" t="s">
        <v>342</v>
      </c>
      <c r="B179" s="2" t="s">
        <v>343</v>
      </c>
      <c r="C179" t="s">
        <v>12</v>
      </c>
      <c r="D179" t="s">
        <v>32</v>
      </c>
      <c r="E179" t="s">
        <v>35</v>
      </c>
      <c r="F179" t="s">
        <v>36</v>
      </c>
      <c r="G179" s="1">
        <v>19</v>
      </c>
      <c r="H179" s="1">
        <v>90</v>
      </c>
      <c r="I179" s="3">
        <v>1710</v>
      </c>
      <c r="J179" s="3">
        <v>950</v>
      </c>
      <c r="K179" s="3">
        <v>760</v>
      </c>
      <c r="L179" s="1" t="str">
        <f>TEXT(Sales_tbl[[#This Row],[Order_Date]],"mmm")</f>
        <v>Aug</v>
      </c>
      <c r="M179" s="1">
        <f>MONTH(Sales_tbl[[#This Row],[Order_Date]])</f>
        <v>8</v>
      </c>
      <c r="N179" s="1">
        <f>YEAR(Sales_tbl[[#This Row],[Order_Date]])</f>
        <v>2025</v>
      </c>
      <c r="O179" s="4">
        <f>IFERROR(Sales_tbl[[#This Row],[Profit]]/Sales_tbl[[#This Row],[Revenue]],0)</f>
        <v>0.44444444444444442</v>
      </c>
      <c r="P179" s="1" t="str">
        <f>IF(Sales_tbl[[#This Row],[Profit]]&gt;2000, "Yes", "No")</f>
        <v>No</v>
      </c>
    </row>
    <row r="180" spans="1:16" x14ac:dyDescent="0.35">
      <c r="A180" t="s">
        <v>344</v>
      </c>
      <c r="B180" s="2" t="s">
        <v>222</v>
      </c>
      <c r="C180" t="s">
        <v>31</v>
      </c>
      <c r="D180" t="s">
        <v>32</v>
      </c>
      <c r="E180" t="s">
        <v>35</v>
      </c>
      <c r="F180" t="s">
        <v>36</v>
      </c>
      <c r="G180" s="1">
        <v>11</v>
      </c>
      <c r="H180" s="1">
        <v>90</v>
      </c>
      <c r="I180" s="3">
        <v>990</v>
      </c>
      <c r="J180" s="3">
        <v>550</v>
      </c>
      <c r="K180" s="3">
        <v>440</v>
      </c>
      <c r="L180" s="1" t="str">
        <f>TEXT(Sales_tbl[[#This Row],[Order_Date]],"mmm")</f>
        <v>Nov</v>
      </c>
      <c r="M180" s="1">
        <f>MONTH(Sales_tbl[[#This Row],[Order_Date]])</f>
        <v>11</v>
      </c>
      <c r="N180" s="1">
        <f>YEAR(Sales_tbl[[#This Row],[Order_Date]])</f>
        <v>2025</v>
      </c>
      <c r="O180" s="4">
        <f>IFERROR(Sales_tbl[[#This Row],[Profit]]/Sales_tbl[[#This Row],[Revenue]],0)</f>
        <v>0.44444444444444442</v>
      </c>
      <c r="P180" s="1" t="str">
        <f>IF(Sales_tbl[[#This Row],[Profit]]&gt;2000, "Yes", "No")</f>
        <v>No</v>
      </c>
    </row>
    <row r="181" spans="1:16" x14ac:dyDescent="0.35">
      <c r="A181" t="s">
        <v>345</v>
      </c>
      <c r="B181" s="2" t="s">
        <v>87</v>
      </c>
      <c r="C181" t="s">
        <v>31</v>
      </c>
      <c r="D181" t="s">
        <v>39</v>
      </c>
      <c r="E181" t="s">
        <v>35</v>
      </c>
      <c r="F181" t="s">
        <v>36</v>
      </c>
      <c r="G181" s="1">
        <v>15</v>
      </c>
      <c r="H181" s="1">
        <v>90</v>
      </c>
      <c r="I181" s="3">
        <v>1350</v>
      </c>
      <c r="J181" s="3">
        <v>750</v>
      </c>
      <c r="K181" s="3">
        <v>600</v>
      </c>
      <c r="L181" s="1" t="str">
        <f>TEXT(Sales_tbl[[#This Row],[Order_Date]],"mmm")</f>
        <v>Dec</v>
      </c>
      <c r="M181" s="1">
        <f>MONTH(Sales_tbl[[#This Row],[Order_Date]])</f>
        <v>12</v>
      </c>
      <c r="N181" s="1">
        <f>YEAR(Sales_tbl[[#This Row],[Order_Date]])</f>
        <v>2025</v>
      </c>
      <c r="O181" s="4">
        <f>IFERROR(Sales_tbl[[#This Row],[Profit]]/Sales_tbl[[#This Row],[Revenue]],0)</f>
        <v>0.44444444444444442</v>
      </c>
      <c r="P181" s="1" t="str">
        <f>IF(Sales_tbl[[#This Row],[Profit]]&gt;2000, "Yes", "No")</f>
        <v>No</v>
      </c>
    </row>
    <row r="182" spans="1:16" x14ac:dyDescent="0.35">
      <c r="A182" t="s">
        <v>346</v>
      </c>
      <c r="B182" s="2" t="s">
        <v>232</v>
      </c>
      <c r="C182" t="s">
        <v>23</v>
      </c>
      <c r="D182" t="s">
        <v>26</v>
      </c>
      <c r="E182" t="s">
        <v>35</v>
      </c>
      <c r="F182" t="s">
        <v>36</v>
      </c>
      <c r="G182" s="1">
        <v>12</v>
      </c>
      <c r="H182" s="1">
        <v>90</v>
      </c>
      <c r="I182" s="3">
        <v>1080</v>
      </c>
      <c r="J182" s="3">
        <v>600</v>
      </c>
      <c r="K182" s="3">
        <v>480</v>
      </c>
      <c r="L182" s="1" t="str">
        <f>TEXT(Sales_tbl[[#This Row],[Order_Date]],"mmm")</f>
        <v>Apr</v>
      </c>
      <c r="M182" s="1">
        <f>MONTH(Sales_tbl[[#This Row],[Order_Date]])</f>
        <v>4</v>
      </c>
      <c r="N182" s="1">
        <f>YEAR(Sales_tbl[[#This Row],[Order_Date]])</f>
        <v>2025</v>
      </c>
      <c r="O182" s="4">
        <f>IFERROR(Sales_tbl[[#This Row],[Profit]]/Sales_tbl[[#This Row],[Revenue]],0)</f>
        <v>0.44444444444444442</v>
      </c>
      <c r="P182" s="1" t="str">
        <f>IF(Sales_tbl[[#This Row],[Profit]]&gt;2000, "Yes", "No")</f>
        <v>No</v>
      </c>
    </row>
    <row r="183" spans="1:16" x14ac:dyDescent="0.35">
      <c r="A183" t="s">
        <v>347</v>
      </c>
      <c r="B183" s="2" t="s">
        <v>275</v>
      </c>
      <c r="C183" t="s">
        <v>23</v>
      </c>
      <c r="D183" t="s">
        <v>26</v>
      </c>
      <c r="E183" t="s">
        <v>57</v>
      </c>
      <c r="F183" t="s">
        <v>15</v>
      </c>
      <c r="G183" s="1">
        <v>6</v>
      </c>
      <c r="H183" s="1">
        <v>300</v>
      </c>
      <c r="I183" s="3">
        <v>1800</v>
      </c>
      <c r="J183" s="3">
        <v>1320</v>
      </c>
      <c r="K183" s="3">
        <v>480</v>
      </c>
      <c r="L183" s="1" t="str">
        <f>TEXT(Sales_tbl[[#This Row],[Order_Date]],"mmm")</f>
        <v>Dec</v>
      </c>
      <c r="M183" s="1">
        <f>MONTH(Sales_tbl[[#This Row],[Order_Date]])</f>
        <v>12</v>
      </c>
      <c r="N183" s="1">
        <f>YEAR(Sales_tbl[[#This Row],[Order_Date]])</f>
        <v>2025</v>
      </c>
      <c r="O183" s="4">
        <f>IFERROR(Sales_tbl[[#This Row],[Profit]]/Sales_tbl[[#This Row],[Revenue]],0)</f>
        <v>0.26666666666666666</v>
      </c>
      <c r="P183" s="1" t="str">
        <f>IF(Sales_tbl[[#This Row],[Profit]]&gt;2000, "Yes", "No")</f>
        <v>No</v>
      </c>
    </row>
    <row r="184" spans="1:16" x14ac:dyDescent="0.35">
      <c r="A184" t="s">
        <v>348</v>
      </c>
      <c r="B184" s="2" t="s">
        <v>91</v>
      </c>
      <c r="C184" t="s">
        <v>31</v>
      </c>
      <c r="D184" t="s">
        <v>26</v>
      </c>
      <c r="E184" t="s">
        <v>28</v>
      </c>
      <c r="F184" t="s">
        <v>20</v>
      </c>
      <c r="G184" s="1">
        <v>20</v>
      </c>
      <c r="H184" s="1">
        <v>220</v>
      </c>
      <c r="I184" s="3">
        <v>4400</v>
      </c>
      <c r="J184" s="3">
        <v>3000</v>
      </c>
      <c r="K184" s="3">
        <v>1400</v>
      </c>
      <c r="L184" s="1" t="str">
        <f>TEXT(Sales_tbl[[#This Row],[Order_Date]],"mmm")</f>
        <v>Sep</v>
      </c>
      <c r="M184" s="1">
        <f>MONTH(Sales_tbl[[#This Row],[Order_Date]])</f>
        <v>9</v>
      </c>
      <c r="N184" s="1">
        <f>YEAR(Sales_tbl[[#This Row],[Order_Date]])</f>
        <v>2025</v>
      </c>
      <c r="O184" s="4">
        <f>IFERROR(Sales_tbl[[#This Row],[Profit]]/Sales_tbl[[#This Row],[Revenue]],0)</f>
        <v>0.31818181818181818</v>
      </c>
      <c r="P184" s="1" t="str">
        <f>IF(Sales_tbl[[#This Row],[Profit]]&gt;2000, "Yes", "No")</f>
        <v>No</v>
      </c>
    </row>
    <row r="185" spans="1:16" x14ac:dyDescent="0.35">
      <c r="A185" t="s">
        <v>349</v>
      </c>
      <c r="B185" s="2" t="s">
        <v>226</v>
      </c>
      <c r="C185" t="s">
        <v>31</v>
      </c>
      <c r="D185" t="s">
        <v>54</v>
      </c>
      <c r="E185" t="s">
        <v>14</v>
      </c>
      <c r="F185" t="s">
        <v>15</v>
      </c>
      <c r="G185" s="1">
        <v>10</v>
      </c>
      <c r="H185" s="1">
        <v>600</v>
      </c>
      <c r="I185" s="3">
        <v>6000</v>
      </c>
      <c r="J185" s="3">
        <v>4300</v>
      </c>
      <c r="K185" s="3">
        <v>1700</v>
      </c>
      <c r="L185" s="1" t="str">
        <f>TEXT(Sales_tbl[[#This Row],[Order_Date]],"mmm")</f>
        <v>Aug</v>
      </c>
      <c r="M185" s="1">
        <f>MONTH(Sales_tbl[[#This Row],[Order_Date]])</f>
        <v>8</v>
      </c>
      <c r="N185" s="1">
        <f>YEAR(Sales_tbl[[#This Row],[Order_Date]])</f>
        <v>2025</v>
      </c>
      <c r="O185" s="4">
        <f>IFERROR(Sales_tbl[[#This Row],[Profit]]/Sales_tbl[[#This Row],[Revenue]],0)</f>
        <v>0.28333333333333333</v>
      </c>
      <c r="P185" s="1" t="str">
        <f>IF(Sales_tbl[[#This Row],[Profit]]&gt;2000, "Yes", "No")</f>
        <v>No</v>
      </c>
    </row>
    <row r="186" spans="1:16" x14ac:dyDescent="0.35">
      <c r="A186" t="s">
        <v>350</v>
      </c>
      <c r="B186" s="2" t="s">
        <v>67</v>
      </c>
      <c r="C186" t="s">
        <v>18</v>
      </c>
      <c r="D186" t="s">
        <v>60</v>
      </c>
      <c r="E186" t="s">
        <v>35</v>
      </c>
      <c r="F186" t="s">
        <v>36</v>
      </c>
      <c r="G186" s="1">
        <v>16</v>
      </c>
      <c r="H186" s="1">
        <v>90</v>
      </c>
      <c r="I186" s="3">
        <v>1440</v>
      </c>
      <c r="J186" s="3">
        <v>800</v>
      </c>
      <c r="K186" s="3">
        <v>640</v>
      </c>
      <c r="L186" s="1" t="str">
        <f>TEXT(Sales_tbl[[#This Row],[Order_Date]],"mmm")</f>
        <v>Jun</v>
      </c>
      <c r="M186" s="1">
        <f>MONTH(Sales_tbl[[#This Row],[Order_Date]])</f>
        <v>6</v>
      </c>
      <c r="N186" s="1">
        <f>YEAR(Sales_tbl[[#This Row],[Order_Date]])</f>
        <v>2025</v>
      </c>
      <c r="O186" s="4">
        <f>IFERROR(Sales_tbl[[#This Row],[Profit]]/Sales_tbl[[#This Row],[Revenue]],0)</f>
        <v>0.44444444444444442</v>
      </c>
      <c r="P186" s="1" t="str">
        <f>IF(Sales_tbl[[#This Row],[Profit]]&gt;2000, "Yes", "No")</f>
        <v>No</v>
      </c>
    </row>
    <row r="187" spans="1:16" x14ac:dyDescent="0.35">
      <c r="A187" t="s">
        <v>351</v>
      </c>
      <c r="B187" s="2" t="s">
        <v>184</v>
      </c>
      <c r="C187" t="s">
        <v>23</v>
      </c>
      <c r="D187" t="s">
        <v>60</v>
      </c>
      <c r="E187" t="s">
        <v>57</v>
      </c>
      <c r="F187" t="s">
        <v>15</v>
      </c>
      <c r="G187" s="1">
        <v>18</v>
      </c>
      <c r="H187" s="1">
        <v>300</v>
      </c>
      <c r="I187" s="3">
        <v>5400</v>
      </c>
      <c r="J187" s="3">
        <v>3960</v>
      </c>
      <c r="K187" s="3">
        <v>1440</v>
      </c>
      <c r="L187" s="1" t="str">
        <f>TEXT(Sales_tbl[[#This Row],[Order_Date]],"mmm")</f>
        <v>Jul</v>
      </c>
      <c r="M187" s="1">
        <f>MONTH(Sales_tbl[[#This Row],[Order_Date]])</f>
        <v>7</v>
      </c>
      <c r="N187" s="1">
        <f>YEAR(Sales_tbl[[#This Row],[Order_Date]])</f>
        <v>2025</v>
      </c>
      <c r="O187" s="4">
        <f>IFERROR(Sales_tbl[[#This Row],[Profit]]/Sales_tbl[[#This Row],[Revenue]],0)</f>
        <v>0.26666666666666666</v>
      </c>
      <c r="P187" s="1" t="str">
        <f>IF(Sales_tbl[[#This Row],[Profit]]&gt;2000, "Yes", "No")</f>
        <v>No</v>
      </c>
    </row>
    <row r="188" spans="1:16" x14ac:dyDescent="0.35">
      <c r="A188" t="s">
        <v>352</v>
      </c>
      <c r="B188" s="2" t="s">
        <v>353</v>
      </c>
      <c r="C188" t="s">
        <v>12</v>
      </c>
      <c r="D188" t="s">
        <v>13</v>
      </c>
      <c r="E188" t="s">
        <v>57</v>
      </c>
      <c r="F188" t="s">
        <v>15</v>
      </c>
      <c r="G188" s="1">
        <v>1</v>
      </c>
      <c r="H188" s="1">
        <v>300</v>
      </c>
      <c r="I188" s="3">
        <v>300</v>
      </c>
      <c r="J188" s="3">
        <v>220</v>
      </c>
      <c r="K188" s="3">
        <v>80</v>
      </c>
      <c r="L188" s="1" t="str">
        <f>TEXT(Sales_tbl[[#This Row],[Order_Date]],"mmm")</f>
        <v>Jun</v>
      </c>
      <c r="M188" s="1">
        <f>MONTH(Sales_tbl[[#This Row],[Order_Date]])</f>
        <v>6</v>
      </c>
      <c r="N188" s="1">
        <f>YEAR(Sales_tbl[[#This Row],[Order_Date]])</f>
        <v>2025</v>
      </c>
      <c r="O188" s="4">
        <f>IFERROR(Sales_tbl[[#This Row],[Profit]]/Sales_tbl[[#This Row],[Revenue]],0)</f>
        <v>0.26666666666666666</v>
      </c>
      <c r="P188" s="1" t="str">
        <f>IF(Sales_tbl[[#This Row],[Profit]]&gt;2000, "Yes", "No")</f>
        <v>No</v>
      </c>
    </row>
    <row r="189" spans="1:16" x14ac:dyDescent="0.35">
      <c r="A189" t="s">
        <v>354</v>
      </c>
      <c r="B189" s="2" t="s">
        <v>161</v>
      </c>
      <c r="C189" t="s">
        <v>18</v>
      </c>
      <c r="D189" t="s">
        <v>39</v>
      </c>
      <c r="E189" t="s">
        <v>14</v>
      </c>
      <c r="F189" t="s">
        <v>15</v>
      </c>
      <c r="G189" s="1">
        <v>20</v>
      </c>
      <c r="H189" s="1">
        <v>600</v>
      </c>
      <c r="I189" s="3">
        <v>12000</v>
      </c>
      <c r="J189" s="3">
        <v>8600</v>
      </c>
      <c r="K189" s="3">
        <v>3400</v>
      </c>
      <c r="L189" s="1" t="str">
        <f>TEXT(Sales_tbl[[#This Row],[Order_Date]],"mmm")</f>
        <v>Aug</v>
      </c>
      <c r="M189" s="1">
        <f>MONTH(Sales_tbl[[#This Row],[Order_Date]])</f>
        <v>8</v>
      </c>
      <c r="N189" s="1">
        <f>YEAR(Sales_tbl[[#This Row],[Order_Date]])</f>
        <v>2025</v>
      </c>
      <c r="O189" s="4">
        <f>IFERROR(Sales_tbl[[#This Row],[Profit]]/Sales_tbl[[#This Row],[Revenue]],0)</f>
        <v>0.28333333333333333</v>
      </c>
      <c r="P189" s="1" t="str">
        <f>IF(Sales_tbl[[#This Row],[Profit]]&gt;2000, "Yes", "No")</f>
        <v>Yes</v>
      </c>
    </row>
    <row r="190" spans="1:16" x14ac:dyDescent="0.35">
      <c r="A190" t="s">
        <v>355</v>
      </c>
      <c r="B190" s="2" t="s">
        <v>299</v>
      </c>
      <c r="C190" t="s">
        <v>31</v>
      </c>
      <c r="D190" t="s">
        <v>54</v>
      </c>
      <c r="E190" t="s">
        <v>63</v>
      </c>
      <c r="F190" t="s">
        <v>15</v>
      </c>
      <c r="G190" s="1">
        <v>19</v>
      </c>
      <c r="H190" s="1">
        <v>850</v>
      </c>
      <c r="I190" s="3">
        <v>16150</v>
      </c>
      <c r="J190" s="3">
        <v>12350</v>
      </c>
      <c r="K190" s="3">
        <v>3800</v>
      </c>
      <c r="L190" s="1" t="str">
        <f>TEXT(Sales_tbl[[#This Row],[Order_Date]],"mmm")</f>
        <v>Jan</v>
      </c>
      <c r="M190" s="1">
        <f>MONTH(Sales_tbl[[#This Row],[Order_Date]])</f>
        <v>1</v>
      </c>
      <c r="N190" s="1">
        <f>YEAR(Sales_tbl[[#This Row],[Order_Date]])</f>
        <v>2025</v>
      </c>
      <c r="O190" s="4">
        <f>IFERROR(Sales_tbl[[#This Row],[Profit]]/Sales_tbl[[#This Row],[Revenue]],0)</f>
        <v>0.23529411764705882</v>
      </c>
      <c r="P190" s="1" t="str">
        <f>IF(Sales_tbl[[#This Row],[Profit]]&gt;2000, "Yes", "No")</f>
        <v>Yes</v>
      </c>
    </row>
    <row r="191" spans="1:16" x14ac:dyDescent="0.35">
      <c r="A191" t="s">
        <v>356</v>
      </c>
      <c r="B191" s="2" t="s">
        <v>357</v>
      </c>
      <c r="C191" t="s">
        <v>12</v>
      </c>
      <c r="D191" t="s">
        <v>54</v>
      </c>
      <c r="E191" t="s">
        <v>63</v>
      </c>
      <c r="F191" t="s">
        <v>15</v>
      </c>
      <c r="G191" s="1">
        <v>20</v>
      </c>
      <c r="H191" s="1">
        <v>850</v>
      </c>
      <c r="I191" s="3">
        <v>17000</v>
      </c>
      <c r="J191" s="3">
        <v>13000</v>
      </c>
      <c r="K191" s="3">
        <v>4000</v>
      </c>
      <c r="L191" s="1" t="str">
        <f>TEXT(Sales_tbl[[#This Row],[Order_Date]],"mmm")</f>
        <v>Jan</v>
      </c>
      <c r="M191" s="1">
        <f>MONTH(Sales_tbl[[#This Row],[Order_Date]])</f>
        <v>1</v>
      </c>
      <c r="N191" s="1">
        <f>YEAR(Sales_tbl[[#This Row],[Order_Date]])</f>
        <v>2025</v>
      </c>
      <c r="O191" s="4">
        <f>IFERROR(Sales_tbl[[#This Row],[Profit]]/Sales_tbl[[#This Row],[Revenue]],0)</f>
        <v>0.23529411764705882</v>
      </c>
      <c r="P191" s="1" t="str">
        <f>IF(Sales_tbl[[#This Row],[Profit]]&gt;2000, "Yes", "No")</f>
        <v>Yes</v>
      </c>
    </row>
    <row r="192" spans="1:16" x14ac:dyDescent="0.35">
      <c r="A192" t="s">
        <v>358</v>
      </c>
      <c r="B192" s="2" t="s">
        <v>316</v>
      </c>
      <c r="C192" t="s">
        <v>31</v>
      </c>
      <c r="D192" t="s">
        <v>26</v>
      </c>
      <c r="E192" t="s">
        <v>19</v>
      </c>
      <c r="F192" t="s">
        <v>20</v>
      </c>
      <c r="G192" s="1">
        <v>7</v>
      </c>
      <c r="H192" s="1">
        <v>140</v>
      </c>
      <c r="I192" s="3">
        <v>980</v>
      </c>
      <c r="J192" s="3">
        <v>630</v>
      </c>
      <c r="K192" s="3">
        <v>350</v>
      </c>
      <c r="L192" s="1" t="str">
        <f>TEXT(Sales_tbl[[#This Row],[Order_Date]],"mmm")</f>
        <v>Oct</v>
      </c>
      <c r="M192" s="1">
        <f>MONTH(Sales_tbl[[#This Row],[Order_Date]])</f>
        <v>10</v>
      </c>
      <c r="N192" s="1">
        <f>YEAR(Sales_tbl[[#This Row],[Order_Date]])</f>
        <v>2025</v>
      </c>
      <c r="O192" s="4">
        <f>IFERROR(Sales_tbl[[#This Row],[Profit]]/Sales_tbl[[#This Row],[Revenue]],0)</f>
        <v>0.35714285714285715</v>
      </c>
      <c r="P192" s="1" t="str">
        <f>IF(Sales_tbl[[#This Row],[Profit]]&gt;2000, "Yes", "No")</f>
        <v>No</v>
      </c>
    </row>
    <row r="193" spans="1:16" x14ac:dyDescent="0.35">
      <c r="A193" t="s">
        <v>359</v>
      </c>
      <c r="B193" s="2" t="s">
        <v>301</v>
      </c>
      <c r="C193" t="s">
        <v>31</v>
      </c>
      <c r="D193" t="s">
        <v>26</v>
      </c>
      <c r="E193" t="s">
        <v>63</v>
      </c>
      <c r="F193" t="s">
        <v>15</v>
      </c>
      <c r="G193" s="1">
        <v>4</v>
      </c>
      <c r="H193" s="1">
        <v>850</v>
      </c>
      <c r="I193" s="3">
        <v>3400</v>
      </c>
      <c r="J193" s="3">
        <v>2600</v>
      </c>
      <c r="K193" s="3">
        <v>800</v>
      </c>
      <c r="L193" s="1" t="str">
        <f>TEXT(Sales_tbl[[#This Row],[Order_Date]],"mmm")</f>
        <v>Apr</v>
      </c>
      <c r="M193" s="1">
        <f>MONTH(Sales_tbl[[#This Row],[Order_Date]])</f>
        <v>4</v>
      </c>
      <c r="N193" s="1">
        <f>YEAR(Sales_tbl[[#This Row],[Order_Date]])</f>
        <v>2025</v>
      </c>
      <c r="O193" s="4">
        <f>IFERROR(Sales_tbl[[#This Row],[Profit]]/Sales_tbl[[#This Row],[Revenue]],0)</f>
        <v>0.23529411764705882</v>
      </c>
      <c r="P193" s="1" t="str">
        <f>IF(Sales_tbl[[#This Row],[Profit]]&gt;2000, "Yes", "No")</f>
        <v>No</v>
      </c>
    </row>
    <row r="194" spans="1:16" x14ac:dyDescent="0.35">
      <c r="A194" t="s">
        <v>360</v>
      </c>
      <c r="B194" s="2" t="s">
        <v>361</v>
      </c>
      <c r="C194" t="s">
        <v>12</v>
      </c>
      <c r="D194" t="s">
        <v>39</v>
      </c>
      <c r="E194" t="s">
        <v>28</v>
      </c>
      <c r="F194" t="s">
        <v>20</v>
      </c>
      <c r="G194" s="1">
        <v>11</v>
      </c>
      <c r="H194" s="1">
        <v>220</v>
      </c>
      <c r="I194" s="3">
        <v>2420</v>
      </c>
      <c r="J194" s="3">
        <v>1650</v>
      </c>
      <c r="K194" s="3">
        <v>770</v>
      </c>
      <c r="L194" s="1" t="str">
        <f>TEXT(Sales_tbl[[#This Row],[Order_Date]],"mmm")</f>
        <v>Jul</v>
      </c>
      <c r="M194" s="1">
        <f>MONTH(Sales_tbl[[#This Row],[Order_Date]])</f>
        <v>7</v>
      </c>
      <c r="N194" s="1">
        <f>YEAR(Sales_tbl[[#This Row],[Order_Date]])</f>
        <v>2025</v>
      </c>
      <c r="O194" s="4">
        <f>IFERROR(Sales_tbl[[#This Row],[Profit]]/Sales_tbl[[#This Row],[Revenue]],0)</f>
        <v>0.31818181818181818</v>
      </c>
      <c r="P194" s="1" t="str">
        <f>IF(Sales_tbl[[#This Row],[Profit]]&gt;2000, "Yes", "No")</f>
        <v>No</v>
      </c>
    </row>
    <row r="195" spans="1:16" x14ac:dyDescent="0.35">
      <c r="A195" t="s">
        <v>362</v>
      </c>
      <c r="B195" s="2" t="s">
        <v>363</v>
      </c>
      <c r="C195" t="s">
        <v>23</v>
      </c>
      <c r="D195" t="s">
        <v>32</v>
      </c>
      <c r="E195" t="s">
        <v>19</v>
      </c>
      <c r="F195" t="s">
        <v>20</v>
      </c>
      <c r="G195" s="1">
        <v>4</v>
      </c>
      <c r="H195" s="1">
        <v>140</v>
      </c>
      <c r="I195" s="3">
        <v>560</v>
      </c>
      <c r="J195" s="3">
        <v>360</v>
      </c>
      <c r="K195" s="3">
        <v>200</v>
      </c>
      <c r="L195" s="1" t="str">
        <f>TEXT(Sales_tbl[[#This Row],[Order_Date]],"mmm")</f>
        <v>Jul</v>
      </c>
      <c r="M195" s="1">
        <f>MONTH(Sales_tbl[[#This Row],[Order_Date]])</f>
        <v>7</v>
      </c>
      <c r="N195" s="1">
        <f>YEAR(Sales_tbl[[#This Row],[Order_Date]])</f>
        <v>2025</v>
      </c>
      <c r="O195" s="4">
        <f>IFERROR(Sales_tbl[[#This Row],[Profit]]/Sales_tbl[[#This Row],[Revenue]],0)</f>
        <v>0.35714285714285715</v>
      </c>
      <c r="P195" s="1" t="str">
        <f>IF(Sales_tbl[[#This Row],[Profit]]&gt;2000, "Yes", "No")</f>
        <v>No</v>
      </c>
    </row>
    <row r="196" spans="1:16" x14ac:dyDescent="0.35">
      <c r="A196" t="s">
        <v>364</v>
      </c>
      <c r="B196" s="2" t="s">
        <v>365</v>
      </c>
      <c r="C196" t="s">
        <v>12</v>
      </c>
      <c r="D196" t="s">
        <v>54</v>
      </c>
      <c r="E196" t="s">
        <v>57</v>
      </c>
      <c r="F196" t="s">
        <v>15</v>
      </c>
      <c r="G196" s="1">
        <v>13</v>
      </c>
      <c r="H196" s="1">
        <v>300</v>
      </c>
      <c r="I196" s="3">
        <v>3900</v>
      </c>
      <c r="J196" s="3">
        <v>2860</v>
      </c>
      <c r="K196" s="3">
        <v>1040</v>
      </c>
      <c r="L196" s="1" t="str">
        <f>TEXT(Sales_tbl[[#This Row],[Order_Date]],"mmm")</f>
        <v>May</v>
      </c>
      <c r="M196" s="1">
        <f>MONTH(Sales_tbl[[#This Row],[Order_Date]])</f>
        <v>5</v>
      </c>
      <c r="N196" s="1">
        <f>YEAR(Sales_tbl[[#This Row],[Order_Date]])</f>
        <v>2025</v>
      </c>
      <c r="O196" s="4">
        <f>IFERROR(Sales_tbl[[#This Row],[Profit]]/Sales_tbl[[#This Row],[Revenue]],0)</f>
        <v>0.26666666666666666</v>
      </c>
      <c r="P196" s="1" t="str">
        <f>IF(Sales_tbl[[#This Row],[Profit]]&gt;2000, "Yes", "No")</f>
        <v>No</v>
      </c>
    </row>
    <row r="197" spans="1:16" x14ac:dyDescent="0.35">
      <c r="A197" t="s">
        <v>366</v>
      </c>
      <c r="B197" s="2" t="s">
        <v>133</v>
      </c>
      <c r="C197" t="s">
        <v>18</v>
      </c>
      <c r="D197" t="s">
        <v>54</v>
      </c>
      <c r="E197" t="s">
        <v>35</v>
      </c>
      <c r="F197" t="s">
        <v>36</v>
      </c>
      <c r="G197" s="1">
        <v>11</v>
      </c>
      <c r="H197" s="1">
        <v>90</v>
      </c>
      <c r="I197" s="3">
        <v>990</v>
      </c>
      <c r="J197" s="3">
        <v>550</v>
      </c>
      <c r="K197" s="3">
        <v>440</v>
      </c>
      <c r="L197" s="1" t="str">
        <f>TEXT(Sales_tbl[[#This Row],[Order_Date]],"mmm")</f>
        <v>Dec</v>
      </c>
      <c r="M197" s="1">
        <f>MONTH(Sales_tbl[[#This Row],[Order_Date]])</f>
        <v>12</v>
      </c>
      <c r="N197" s="1">
        <f>YEAR(Sales_tbl[[#This Row],[Order_Date]])</f>
        <v>2025</v>
      </c>
      <c r="O197" s="4">
        <f>IFERROR(Sales_tbl[[#This Row],[Profit]]/Sales_tbl[[#This Row],[Revenue]],0)</f>
        <v>0.44444444444444442</v>
      </c>
      <c r="P197" s="1" t="str">
        <f>IF(Sales_tbl[[#This Row],[Profit]]&gt;2000, "Yes", "No")</f>
        <v>No</v>
      </c>
    </row>
    <row r="198" spans="1:16" x14ac:dyDescent="0.35">
      <c r="A198" t="s">
        <v>367</v>
      </c>
      <c r="B198" s="2" t="s">
        <v>210</v>
      </c>
      <c r="C198" t="s">
        <v>12</v>
      </c>
      <c r="D198" t="s">
        <v>26</v>
      </c>
      <c r="E198" t="s">
        <v>19</v>
      </c>
      <c r="F198" t="s">
        <v>20</v>
      </c>
      <c r="G198" s="1">
        <v>18</v>
      </c>
      <c r="H198" s="1">
        <v>140</v>
      </c>
      <c r="I198" s="3">
        <v>2520</v>
      </c>
      <c r="J198" s="3">
        <v>1620</v>
      </c>
      <c r="K198" s="3">
        <v>900</v>
      </c>
      <c r="L198" s="1" t="str">
        <f>TEXT(Sales_tbl[[#This Row],[Order_Date]],"mmm")</f>
        <v>Jun</v>
      </c>
      <c r="M198" s="1">
        <f>MONTH(Sales_tbl[[#This Row],[Order_Date]])</f>
        <v>6</v>
      </c>
      <c r="N198" s="1">
        <f>YEAR(Sales_tbl[[#This Row],[Order_Date]])</f>
        <v>2025</v>
      </c>
      <c r="O198" s="4">
        <f>IFERROR(Sales_tbl[[#This Row],[Profit]]/Sales_tbl[[#This Row],[Revenue]],0)</f>
        <v>0.35714285714285715</v>
      </c>
      <c r="P198" s="1" t="str">
        <f>IF(Sales_tbl[[#This Row],[Profit]]&gt;2000, "Yes", "No")</f>
        <v>No</v>
      </c>
    </row>
    <row r="199" spans="1:16" x14ac:dyDescent="0.35">
      <c r="A199" t="s">
        <v>368</v>
      </c>
      <c r="B199" s="2" t="s">
        <v>369</v>
      </c>
      <c r="C199" t="s">
        <v>12</v>
      </c>
      <c r="D199" t="s">
        <v>26</v>
      </c>
      <c r="E199" t="s">
        <v>19</v>
      </c>
      <c r="F199" t="s">
        <v>20</v>
      </c>
      <c r="G199" s="1">
        <v>8</v>
      </c>
      <c r="H199" s="1">
        <v>140</v>
      </c>
      <c r="I199" s="3">
        <v>1120</v>
      </c>
      <c r="J199" s="3">
        <v>720</v>
      </c>
      <c r="K199" s="3">
        <v>400</v>
      </c>
      <c r="L199" s="1" t="str">
        <f>TEXT(Sales_tbl[[#This Row],[Order_Date]],"mmm")</f>
        <v>Mar</v>
      </c>
      <c r="M199" s="1">
        <f>MONTH(Sales_tbl[[#This Row],[Order_Date]])</f>
        <v>3</v>
      </c>
      <c r="N199" s="1">
        <f>YEAR(Sales_tbl[[#This Row],[Order_Date]])</f>
        <v>2025</v>
      </c>
      <c r="O199" s="4">
        <f>IFERROR(Sales_tbl[[#This Row],[Profit]]/Sales_tbl[[#This Row],[Revenue]],0)</f>
        <v>0.35714285714285715</v>
      </c>
      <c r="P199" s="1" t="str">
        <f>IF(Sales_tbl[[#This Row],[Profit]]&gt;2000, "Yes", "No")</f>
        <v>No</v>
      </c>
    </row>
    <row r="200" spans="1:16" x14ac:dyDescent="0.35">
      <c r="A200" t="s">
        <v>370</v>
      </c>
      <c r="B200" s="2" t="s">
        <v>371</v>
      </c>
      <c r="C200" t="s">
        <v>31</v>
      </c>
      <c r="D200" t="s">
        <v>13</v>
      </c>
      <c r="E200" t="s">
        <v>19</v>
      </c>
      <c r="F200" t="s">
        <v>20</v>
      </c>
      <c r="G200" s="1">
        <v>6</v>
      </c>
      <c r="H200" s="1">
        <v>140</v>
      </c>
      <c r="I200" s="3">
        <v>840</v>
      </c>
      <c r="J200" s="3">
        <v>540</v>
      </c>
      <c r="K200" s="3">
        <v>300</v>
      </c>
      <c r="L200" s="1" t="str">
        <f>TEXT(Sales_tbl[[#This Row],[Order_Date]],"mmm")</f>
        <v>Nov</v>
      </c>
      <c r="M200" s="1">
        <f>MONTH(Sales_tbl[[#This Row],[Order_Date]])</f>
        <v>11</v>
      </c>
      <c r="N200" s="1">
        <f>YEAR(Sales_tbl[[#This Row],[Order_Date]])</f>
        <v>2025</v>
      </c>
      <c r="O200" s="4">
        <f>IFERROR(Sales_tbl[[#This Row],[Profit]]/Sales_tbl[[#This Row],[Revenue]],0)</f>
        <v>0.35714285714285715</v>
      </c>
      <c r="P200" s="1" t="str">
        <f>IF(Sales_tbl[[#This Row],[Profit]]&gt;2000, "Yes", "No")</f>
        <v>No</v>
      </c>
    </row>
    <row r="201" spans="1:16" x14ac:dyDescent="0.35">
      <c r="A201" t="s">
        <v>372</v>
      </c>
      <c r="B201" s="2" t="s">
        <v>373</v>
      </c>
      <c r="C201" t="s">
        <v>18</v>
      </c>
      <c r="D201" t="s">
        <v>54</v>
      </c>
      <c r="E201" t="s">
        <v>19</v>
      </c>
      <c r="F201" t="s">
        <v>20</v>
      </c>
      <c r="G201" s="1">
        <v>14</v>
      </c>
      <c r="H201" s="1">
        <v>140</v>
      </c>
      <c r="I201" s="3">
        <v>1960</v>
      </c>
      <c r="J201" s="3">
        <v>1260</v>
      </c>
      <c r="K201" s="3">
        <v>700</v>
      </c>
      <c r="L201" s="1" t="str">
        <f>TEXT(Sales_tbl[[#This Row],[Order_Date]],"mmm")</f>
        <v>Feb</v>
      </c>
      <c r="M201" s="1">
        <f>MONTH(Sales_tbl[[#This Row],[Order_Date]])</f>
        <v>2</v>
      </c>
      <c r="N201" s="1">
        <f>YEAR(Sales_tbl[[#This Row],[Order_Date]])</f>
        <v>2025</v>
      </c>
      <c r="O201" s="4">
        <f>IFERROR(Sales_tbl[[#This Row],[Profit]]/Sales_tbl[[#This Row],[Revenue]],0)</f>
        <v>0.35714285714285715</v>
      </c>
      <c r="P201" s="1" t="str">
        <f>IF(Sales_tbl[[#This Row],[Profit]]&gt;2000, "Yes", "No")</f>
        <v>No</v>
      </c>
    </row>
  </sheetData>
  <conditionalFormatting sqref="K2:K201">
    <cfRule type="cellIs" dxfId="0" priority="1" operator="greaterThan">
      <formula>2000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47A97-8AB9-4AD5-B59C-3B5A8097B66D}">
  <dimension ref="A1:H6"/>
  <sheetViews>
    <sheetView workbookViewId="0">
      <selection activeCell="H9" sqref="H9"/>
    </sheetView>
  </sheetViews>
  <sheetFormatPr defaultRowHeight="14.5" x14ac:dyDescent="0.35"/>
  <sheetData>
    <row r="1" spans="1:8" x14ac:dyDescent="0.35">
      <c r="A1" t="s">
        <v>1</v>
      </c>
      <c r="B1" t="s">
        <v>7</v>
      </c>
      <c r="C1" t="s">
        <v>402</v>
      </c>
    </row>
    <row r="2" spans="1:8" x14ac:dyDescent="0.35">
      <c r="A2" t="s">
        <v>12</v>
      </c>
      <c r="B2">
        <f>SUMIF(Sales_tbl[Region], "south", Sales_tbl[Revenue])</f>
        <v>172350</v>
      </c>
      <c r="C2">
        <f>COUNTIF(Sales_tbl[Region], "south")</f>
        <v>45</v>
      </c>
      <c r="G2" t="s">
        <v>24</v>
      </c>
    </row>
    <row r="3" spans="1:8" x14ac:dyDescent="0.35">
      <c r="A3" t="s">
        <v>23</v>
      </c>
      <c r="B3">
        <f>SUMIF(Sales_tbl[Region], "east", Sales_tbl[Revenue])</f>
        <v>200020</v>
      </c>
      <c r="C3">
        <f>COUNTIF(Sales_tbl[Region], "east")</f>
        <v>53</v>
      </c>
    </row>
    <row r="4" spans="1:8" x14ac:dyDescent="0.35">
      <c r="A4" t="s">
        <v>31</v>
      </c>
      <c r="B4">
        <f>SUMIF(Sales_tbl[Region], "west", Sales_tbl[Revenue])</f>
        <v>230270</v>
      </c>
      <c r="C4">
        <f>COUNTIF(Sales_tbl[Region], "west")</f>
        <v>61</v>
      </c>
      <c r="G4" t="s">
        <v>3</v>
      </c>
      <c r="H4" t="str">
        <f>_xlfn.XLOOKUP(G2, Sales_tbl[Order_id], Sales_tbl[Product], "Not Found")</f>
        <v>Phone</v>
      </c>
    </row>
    <row r="5" spans="1:8" x14ac:dyDescent="0.35">
      <c r="A5" t="s">
        <v>18</v>
      </c>
      <c r="B5">
        <f>SUMIF(Sales_tbl[Region], "north", Sales_tbl[Revenue])</f>
        <v>148190</v>
      </c>
      <c r="C5">
        <f>COUNTIF(Sales_tbl[Region], "north")</f>
        <v>41</v>
      </c>
      <c r="G5" t="s">
        <v>2</v>
      </c>
      <c r="H5" t="str">
        <f>_xlfn.XLOOKUP(G2, Sales_tbl[Order_id], Sales_tbl[Salesperson], "Not Found")</f>
        <v>Ben</v>
      </c>
    </row>
    <row r="6" spans="1:8" x14ac:dyDescent="0.35">
      <c r="G6" t="s">
        <v>9</v>
      </c>
      <c r="H6" s="5">
        <f>_xlfn.XLOOKUP(G2, Sales_tbl[Order_id], Sales_tbl[Profit])</f>
        <v>2210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7A337-2E5E-4114-BCB0-AAB0861536CD}">
  <dimension ref="A1:B62"/>
  <sheetViews>
    <sheetView workbookViewId="0">
      <selection activeCell="C36" sqref="C36"/>
    </sheetView>
  </sheetViews>
  <sheetFormatPr defaultRowHeight="14.5" x14ac:dyDescent="0.35"/>
  <cols>
    <col min="1" max="1" width="12.36328125" bestFit="1" customWidth="1"/>
    <col min="2" max="2" width="16.08984375" bestFit="1" customWidth="1"/>
  </cols>
  <sheetData>
    <row r="1" spans="1:2" x14ac:dyDescent="0.35">
      <c r="A1" s="6" t="s">
        <v>403</v>
      </c>
      <c r="B1" t="s">
        <v>405</v>
      </c>
    </row>
    <row r="2" spans="1:2" x14ac:dyDescent="0.35">
      <c r="A2" s="7" t="s">
        <v>23</v>
      </c>
      <c r="B2" s="3">
        <v>200020</v>
      </c>
    </row>
    <row r="3" spans="1:2" x14ac:dyDescent="0.35">
      <c r="A3" s="7" t="s">
        <v>18</v>
      </c>
      <c r="B3" s="3">
        <v>148190</v>
      </c>
    </row>
    <row r="4" spans="1:2" x14ac:dyDescent="0.35">
      <c r="A4" s="7" t="s">
        <v>12</v>
      </c>
      <c r="B4" s="3">
        <v>172350</v>
      </c>
    </row>
    <row r="5" spans="1:2" x14ac:dyDescent="0.35">
      <c r="A5" s="7" t="s">
        <v>31</v>
      </c>
      <c r="B5" s="3">
        <v>230270</v>
      </c>
    </row>
    <row r="6" spans="1:2" x14ac:dyDescent="0.35">
      <c r="A6" s="7" t="s">
        <v>404</v>
      </c>
      <c r="B6" s="3">
        <v>750830</v>
      </c>
    </row>
    <row r="9" spans="1:2" x14ac:dyDescent="0.35">
      <c r="A9" s="6" t="s">
        <v>403</v>
      </c>
      <c r="B9" t="s">
        <v>406</v>
      </c>
    </row>
    <row r="10" spans="1:2" x14ac:dyDescent="0.35">
      <c r="A10" s="7" t="s">
        <v>19</v>
      </c>
      <c r="B10" s="3">
        <v>14450</v>
      </c>
    </row>
    <row r="11" spans="1:2" x14ac:dyDescent="0.35">
      <c r="A11" s="7" t="s">
        <v>28</v>
      </c>
      <c r="B11" s="3">
        <v>24010</v>
      </c>
    </row>
    <row r="12" spans="1:2" x14ac:dyDescent="0.35">
      <c r="A12" s="7" t="s">
        <v>35</v>
      </c>
      <c r="B12" s="3">
        <v>21760</v>
      </c>
    </row>
    <row r="13" spans="1:2" x14ac:dyDescent="0.35">
      <c r="A13" s="7" t="s">
        <v>63</v>
      </c>
      <c r="B13" s="3">
        <v>68200</v>
      </c>
    </row>
    <row r="14" spans="1:2" x14ac:dyDescent="0.35">
      <c r="A14" s="7" t="s">
        <v>57</v>
      </c>
      <c r="B14" s="3">
        <v>25840</v>
      </c>
    </row>
    <row r="15" spans="1:2" x14ac:dyDescent="0.35">
      <c r="A15" s="7" t="s">
        <v>14</v>
      </c>
      <c r="B15" s="3">
        <v>56440</v>
      </c>
    </row>
    <row r="16" spans="1:2" x14ac:dyDescent="0.35">
      <c r="A16" s="7" t="s">
        <v>404</v>
      </c>
      <c r="B16" s="3">
        <v>210700</v>
      </c>
    </row>
    <row r="19" spans="1:2" x14ac:dyDescent="0.35">
      <c r="A19" s="6" t="s">
        <v>403</v>
      </c>
      <c r="B19" t="s">
        <v>405</v>
      </c>
    </row>
    <row r="20" spans="1:2" x14ac:dyDescent="0.35">
      <c r="A20" s="7" t="s">
        <v>407</v>
      </c>
      <c r="B20" s="3">
        <v>70370</v>
      </c>
    </row>
    <row r="21" spans="1:2" x14ac:dyDescent="0.35">
      <c r="A21" s="7" t="s">
        <v>408</v>
      </c>
      <c r="B21" s="3">
        <v>62770</v>
      </c>
    </row>
    <row r="22" spans="1:2" x14ac:dyDescent="0.35">
      <c r="A22" s="7" t="s">
        <v>409</v>
      </c>
      <c r="B22" s="3">
        <v>28290</v>
      </c>
    </row>
    <row r="23" spans="1:2" x14ac:dyDescent="0.35">
      <c r="A23" s="7" t="s">
        <v>410</v>
      </c>
      <c r="B23" s="3">
        <v>55220</v>
      </c>
    </row>
    <row r="24" spans="1:2" x14ac:dyDescent="0.35">
      <c r="A24" s="7" t="s">
        <v>411</v>
      </c>
      <c r="B24" s="3">
        <v>45600</v>
      </c>
    </row>
    <row r="25" spans="1:2" x14ac:dyDescent="0.35">
      <c r="A25" s="7" t="s">
        <v>412</v>
      </c>
      <c r="B25" s="3">
        <v>64530</v>
      </c>
    </row>
    <row r="26" spans="1:2" x14ac:dyDescent="0.35">
      <c r="A26" s="7" t="s">
        <v>413</v>
      </c>
      <c r="B26" s="3">
        <v>99890</v>
      </c>
    </row>
    <row r="27" spans="1:2" x14ac:dyDescent="0.35">
      <c r="A27" s="7" t="s">
        <v>414</v>
      </c>
      <c r="B27" s="3">
        <v>86470</v>
      </c>
    </row>
    <row r="28" spans="1:2" x14ac:dyDescent="0.35">
      <c r="A28" s="7" t="s">
        <v>415</v>
      </c>
      <c r="B28" s="3">
        <v>39760</v>
      </c>
    </row>
    <row r="29" spans="1:2" x14ac:dyDescent="0.35">
      <c r="A29" s="7" t="s">
        <v>416</v>
      </c>
      <c r="B29" s="3">
        <v>68440</v>
      </c>
    </row>
    <row r="30" spans="1:2" x14ac:dyDescent="0.35">
      <c r="A30" s="7" t="s">
        <v>417</v>
      </c>
      <c r="B30" s="3">
        <v>46530</v>
      </c>
    </row>
    <row r="31" spans="1:2" x14ac:dyDescent="0.35">
      <c r="A31" s="7" t="s">
        <v>418</v>
      </c>
      <c r="B31" s="3">
        <v>82960</v>
      </c>
    </row>
    <row r="32" spans="1:2" x14ac:dyDescent="0.35">
      <c r="A32" s="7" t="s">
        <v>404</v>
      </c>
      <c r="B32" s="3">
        <v>750830</v>
      </c>
    </row>
    <row r="36" spans="1:2" x14ac:dyDescent="0.35">
      <c r="A36" s="6" t="s">
        <v>403</v>
      </c>
      <c r="B36" t="s">
        <v>406</v>
      </c>
    </row>
    <row r="37" spans="1:2" x14ac:dyDescent="0.35">
      <c r="A37" s="7" t="s">
        <v>32</v>
      </c>
      <c r="B37" s="3">
        <v>43210</v>
      </c>
    </row>
    <row r="38" spans="1:2" x14ac:dyDescent="0.35">
      <c r="A38" s="7" t="s">
        <v>26</v>
      </c>
      <c r="B38" s="3">
        <v>32570</v>
      </c>
    </row>
    <row r="39" spans="1:2" x14ac:dyDescent="0.35">
      <c r="A39" s="7" t="s">
        <v>39</v>
      </c>
      <c r="B39" s="3">
        <v>40070</v>
      </c>
    </row>
    <row r="40" spans="1:2" x14ac:dyDescent="0.35">
      <c r="A40" s="7" t="s">
        <v>60</v>
      </c>
      <c r="B40" s="3">
        <v>40920</v>
      </c>
    </row>
    <row r="41" spans="1:2" x14ac:dyDescent="0.35">
      <c r="A41" s="7" t="s">
        <v>54</v>
      </c>
      <c r="B41" s="3">
        <v>25830</v>
      </c>
    </row>
    <row r="42" spans="1:2" x14ac:dyDescent="0.35">
      <c r="A42" s="7" t="s">
        <v>13</v>
      </c>
      <c r="B42" s="3">
        <v>28100</v>
      </c>
    </row>
    <row r="43" spans="1:2" x14ac:dyDescent="0.35">
      <c r="A43" s="7" t="s">
        <v>404</v>
      </c>
      <c r="B43" s="3">
        <v>210700</v>
      </c>
    </row>
    <row r="47" spans="1:2" x14ac:dyDescent="0.35">
      <c r="A47" s="6" t="s">
        <v>403</v>
      </c>
      <c r="B47" t="s">
        <v>405</v>
      </c>
    </row>
    <row r="48" spans="1:2" x14ac:dyDescent="0.35">
      <c r="A48" s="7" t="s">
        <v>36</v>
      </c>
      <c r="B48" s="3">
        <v>48960</v>
      </c>
    </row>
    <row r="49" spans="1:2" x14ac:dyDescent="0.35">
      <c r="A49" s="7" t="s">
        <v>15</v>
      </c>
      <c r="B49" s="3">
        <v>585950</v>
      </c>
    </row>
    <row r="50" spans="1:2" x14ac:dyDescent="0.35">
      <c r="A50" s="7" t="s">
        <v>20</v>
      </c>
      <c r="B50" s="3">
        <v>115920</v>
      </c>
    </row>
    <row r="51" spans="1:2" x14ac:dyDescent="0.35">
      <c r="A51" s="7" t="s">
        <v>404</v>
      </c>
      <c r="B51" s="3">
        <v>750830</v>
      </c>
    </row>
    <row r="55" spans="1:2" x14ac:dyDescent="0.35">
      <c r="A55" s="6" t="s">
        <v>403</v>
      </c>
      <c r="B55" t="s">
        <v>419</v>
      </c>
    </row>
    <row r="56" spans="1:2" x14ac:dyDescent="0.35">
      <c r="A56" s="7" t="s">
        <v>19</v>
      </c>
      <c r="B56" s="1">
        <v>289</v>
      </c>
    </row>
    <row r="57" spans="1:2" x14ac:dyDescent="0.35">
      <c r="A57" s="7" t="s">
        <v>28</v>
      </c>
      <c r="B57" s="1">
        <v>343</v>
      </c>
    </row>
    <row r="58" spans="1:2" x14ac:dyDescent="0.35">
      <c r="A58" s="7" t="s">
        <v>35</v>
      </c>
      <c r="B58" s="1">
        <v>544</v>
      </c>
    </row>
    <row r="59" spans="1:2" x14ac:dyDescent="0.35">
      <c r="A59" s="7" t="s">
        <v>63</v>
      </c>
      <c r="B59" s="1">
        <v>341</v>
      </c>
    </row>
    <row r="60" spans="1:2" x14ac:dyDescent="0.35">
      <c r="A60" s="7" t="s">
        <v>57</v>
      </c>
      <c r="B60" s="1">
        <v>323</v>
      </c>
    </row>
    <row r="61" spans="1:2" x14ac:dyDescent="0.35">
      <c r="A61" s="7" t="s">
        <v>14</v>
      </c>
      <c r="B61" s="1">
        <v>332</v>
      </c>
    </row>
    <row r="62" spans="1:2" x14ac:dyDescent="0.35">
      <c r="A62" s="7" t="s">
        <v>404</v>
      </c>
      <c r="B62" s="1">
        <v>2172</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25ED-37D3-4B5B-B843-AF80C270D999}">
  <dimension ref="A2:O8"/>
  <sheetViews>
    <sheetView showGridLines="0" tabSelected="1" workbookViewId="0">
      <selection activeCell="E6" sqref="E6"/>
    </sheetView>
  </sheetViews>
  <sheetFormatPr defaultRowHeight="14.5" x14ac:dyDescent="0.35"/>
  <cols>
    <col min="1" max="1" width="13.1796875" customWidth="1"/>
    <col min="2" max="2" width="5.90625" customWidth="1"/>
    <col min="3" max="3" width="14.08984375" customWidth="1"/>
    <col min="4" max="4" width="6.453125" customWidth="1"/>
    <col min="5" max="5" width="9.90625" customWidth="1"/>
    <col min="6" max="6" width="9.36328125" customWidth="1"/>
    <col min="7" max="7" width="14.26953125" customWidth="1"/>
    <col min="9" max="9" width="13.81640625" bestFit="1" customWidth="1"/>
    <col min="11" max="11" width="6.26953125" customWidth="1"/>
    <col min="14" max="14" width="8.7265625" customWidth="1"/>
    <col min="15" max="15" width="9.08984375" customWidth="1"/>
  </cols>
  <sheetData>
    <row r="2" spans="1:15" ht="28.5" x14ac:dyDescent="0.65">
      <c r="A2" s="15" t="s">
        <v>420</v>
      </c>
      <c r="B2" s="16"/>
      <c r="C2" s="16"/>
      <c r="D2" s="16"/>
      <c r="E2" s="16"/>
      <c r="F2" s="16"/>
      <c r="G2" s="16"/>
      <c r="H2" s="16"/>
      <c r="I2" s="16"/>
      <c r="J2" s="16"/>
      <c r="K2" s="16"/>
      <c r="L2" s="16"/>
      <c r="M2" s="16"/>
      <c r="N2" s="16"/>
      <c r="O2" s="16"/>
    </row>
    <row r="4" spans="1:15" x14ac:dyDescent="0.35">
      <c r="A4" s="11" t="s">
        <v>397</v>
      </c>
      <c r="B4" s="11"/>
      <c r="C4" s="11" t="s">
        <v>398</v>
      </c>
      <c r="D4" s="11"/>
      <c r="E4" s="11" t="s">
        <v>421</v>
      </c>
      <c r="F4" s="11"/>
      <c r="G4" s="11" t="s">
        <v>434</v>
      </c>
      <c r="I4" s="11" t="s">
        <v>399</v>
      </c>
      <c r="K4" s="11"/>
    </row>
    <row r="5" spans="1:15" ht="21" x14ac:dyDescent="0.5">
      <c r="A5" s="12">
        <f>GETPIVOTDATA("Revenue",Pivot_tbl!$A$1)</f>
        <v>750830</v>
      </c>
      <c r="B5" s="12"/>
      <c r="C5" s="12">
        <f>GETPIVOTDATA("Profit",Pivot_tbl!$A$9)</f>
        <v>210700</v>
      </c>
      <c r="D5" s="19"/>
      <c r="E5" s="13">
        <f>GETPIVOTDATA("Units_Sold",Pivot_tbl!$A$55)</f>
        <v>2172</v>
      </c>
      <c r="F5" s="19"/>
      <c r="G5" s="14">
        <f>C5/A5</f>
        <v>0.28062277745961134</v>
      </c>
      <c r="I5" s="19">
        <f>Sales_tbl!S5</f>
        <v>540130</v>
      </c>
      <c r="K5" s="14"/>
    </row>
    <row r="7" spans="1:15" x14ac:dyDescent="0.35">
      <c r="A7" s="11"/>
      <c r="B7" s="11"/>
      <c r="D7" s="11"/>
      <c r="F7" s="11"/>
      <c r="H7" s="11"/>
    </row>
    <row r="8" spans="1:15" ht="21" x14ac:dyDescent="0.5">
      <c r="B8" s="12"/>
      <c r="D8" s="12"/>
      <c r="F8" s="13"/>
      <c r="H8" s="14"/>
    </row>
  </sheetData>
  <mergeCells count="1">
    <mergeCell ref="A2: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60A37-78FE-4975-A194-D0B7F2E74EC4}">
  <dimension ref="A1:D17"/>
  <sheetViews>
    <sheetView showGridLines="0" workbookViewId="0">
      <selection activeCell="C20" sqref="C20"/>
    </sheetView>
  </sheetViews>
  <sheetFormatPr defaultRowHeight="14.5" x14ac:dyDescent="0.35"/>
  <cols>
    <col min="1" max="1" width="16.08984375" bestFit="1" customWidth="1"/>
    <col min="2" max="2" width="10.81640625" bestFit="1" customWidth="1"/>
  </cols>
  <sheetData>
    <row r="1" spans="1:4" x14ac:dyDescent="0.35">
      <c r="D1" s="9"/>
    </row>
    <row r="2" spans="1:4" x14ac:dyDescent="0.35">
      <c r="A2" t="s">
        <v>422</v>
      </c>
      <c r="B2" s="5"/>
    </row>
    <row r="3" spans="1:4" x14ac:dyDescent="0.35">
      <c r="A3" t="s">
        <v>423</v>
      </c>
    </row>
    <row r="4" spans="1:4" x14ac:dyDescent="0.35">
      <c r="A4" s="8" t="s">
        <v>424</v>
      </c>
    </row>
    <row r="5" spans="1:4" x14ac:dyDescent="0.35">
      <c r="A5" s="8" t="s">
        <v>425</v>
      </c>
    </row>
    <row r="6" spans="1:4" x14ac:dyDescent="0.35">
      <c r="A6" s="8" t="s">
        <v>426</v>
      </c>
    </row>
    <row r="7" spans="1:4" x14ac:dyDescent="0.35">
      <c r="A7" s="8" t="s">
        <v>427</v>
      </c>
    </row>
    <row r="8" spans="1:4" ht="18.5" x14ac:dyDescent="0.45">
      <c r="A8" s="10"/>
      <c r="C8" s="8"/>
    </row>
    <row r="11" spans="1:4" ht="21" x14ac:dyDescent="0.5">
      <c r="A11" s="17" t="s">
        <v>428</v>
      </c>
    </row>
    <row r="13" spans="1:4" x14ac:dyDescent="0.35">
      <c r="A13" t="s">
        <v>433</v>
      </c>
    </row>
    <row r="14" spans="1:4" x14ac:dyDescent="0.35">
      <c r="A14" s="18" t="s">
        <v>429</v>
      </c>
    </row>
    <row r="15" spans="1:4" x14ac:dyDescent="0.35">
      <c r="A15" s="18" t="s">
        <v>430</v>
      </c>
    </row>
    <row r="16" spans="1:4" x14ac:dyDescent="0.35">
      <c r="A16" s="18" t="s">
        <v>431</v>
      </c>
    </row>
    <row r="17" spans="1:1" x14ac:dyDescent="0.35">
      <c r="A17" s="18" t="s">
        <v>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4.5" x14ac:dyDescent="0.35"/>
  <sheetData>
    <row r="1" spans="1:2" x14ac:dyDescent="0.35">
      <c r="A1" t="s">
        <v>374</v>
      </c>
      <c r="B1" t="s">
        <v>375</v>
      </c>
    </row>
    <row r="2" spans="1:2" x14ac:dyDescent="0.35">
      <c r="A2">
        <v>1</v>
      </c>
      <c r="B2" t="s">
        <v>376</v>
      </c>
    </row>
    <row r="3" spans="1:2" x14ac:dyDescent="0.35">
      <c r="A3">
        <v>2</v>
      </c>
      <c r="B3" t="s">
        <v>377</v>
      </c>
    </row>
    <row r="4" spans="1:2" x14ac:dyDescent="0.35">
      <c r="A4">
        <v>3</v>
      </c>
      <c r="B4" t="s">
        <v>378</v>
      </c>
    </row>
    <row r="5" spans="1:2" x14ac:dyDescent="0.35">
      <c r="A5">
        <v>4</v>
      </c>
      <c r="B5" t="s">
        <v>379</v>
      </c>
    </row>
    <row r="6" spans="1:2" x14ac:dyDescent="0.35">
      <c r="A6">
        <v>5</v>
      </c>
      <c r="B6" t="s">
        <v>380</v>
      </c>
    </row>
    <row r="7" spans="1:2" x14ac:dyDescent="0.35">
      <c r="A7">
        <v>6</v>
      </c>
      <c r="B7" t="s">
        <v>381</v>
      </c>
    </row>
    <row r="8" spans="1:2" x14ac:dyDescent="0.35">
      <c r="A8">
        <v>7</v>
      </c>
      <c r="B8" t="s">
        <v>382</v>
      </c>
    </row>
    <row r="9" spans="1:2" x14ac:dyDescent="0.35">
      <c r="A9">
        <v>8</v>
      </c>
      <c r="B9" t="s">
        <v>383</v>
      </c>
    </row>
    <row r="10" spans="1:2" x14ac:dyDescent="0.35">
      <c r="A10">
        <v>9</v>
      </c>
      <c r="B10" t="s">
        <v>384</v>
      </c>
    </row>
    <row r="11" spans="1:2" x14ac:dyDescent="0.35">
      <c r="A11">
        <v>10</v>
      </c>
      <c r="B11" t="s">
        <v>385</v>
      </c>
    </row>
    <row r="12" spans="1:2" x14ac:dyDescent="0.35">
      <c r="A12">
        <v>11</v>
      </c>
      <c r="B12" t="s">
        <v>386</v>
      </c>
    </row>
    <row r="13" spans="1:2" x14ac:dyDescent="0.35">
      <c r="A13">
        <v>12</v>
      </c>
      <c r="B13" t="s">
        <v>387</v>
      </c>
    </row>
    <row r="14" spans="1:2" x14ac:dyDescent="0.35">
      <c r="A14">
        <v>13</v>
      </c>
      <c r="B14" t="s">
        <v>388</v>
      </c>
    </row>
    <row r="15" spans="1:2" x14ac:dyDescent="0.35">
      <c r="A15">
        <v>14</v>
      </c>
      <c r="B15" t="s">
        <v>389</v>
      </c>
    </row>
    <row r="16" spans="1:2" x14ac:dyDescent="0.35">
      <c r="A16">
        <v>15</v>
      </c>
      <c r="B16" t="s">
        <v>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Sales_tbl</vt:lpstr>
      <vt:lpstr>KPIs</vt:lpstr>
      <vt:lpstr>Pivot_tbl</vt:lpstr>
      <vt:lpstr>Dashboard</vt:lpstr>
      <vt:lpstr>Insights</vt:lpstr>
      <vt:lpstr>Project_Tasks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Udoyara</cp:lastModifiedBy>
  <dcterms:created xsi:type="dcterms:W3CDTF">2026-06-12T15:12:24Z</dcterms:created>
  <dcterms:modified xsi:type="dcterms:W3CDTF">2026-06-15T11:20:59Z</dcterms:modified>
</cp:coreProperties>
</file>